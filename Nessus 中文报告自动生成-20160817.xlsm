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C:\Users\kesonlin\Desktop\test\"/>
    </mc:Choice>
  </mc:AlternateContent>
  <bookViews>
    <workbookView xWindow="0" yWindow="30" windowWidth="19440" windowHeight="10830" firstSheet="1" activeTab="4"/>
  </bookViews>
  <sheets>
    <sheet name="漏洞统计" sheetId="7" r:id="rId1"/>
    <sheet name="安全风险等级分布" sheetId="8" r:id="rId2"/>
    <sheet name="扫描结果" sheetId="6" r:id="rId3"/>
    <sheet name="漏洞引用表" sheetId="4" r:id="rId4"/>
    <sheet name="宏脚本按钮" sheetId="9" r:id="rId5"/>
  </sheets>
  <definedNames>
    <definedName name="_xlnm._FilterDatabase" localSheetId="3" hidden="1">漏洞引用表!$C$1:$F$58</definedName>
    <definedName name="_xlnm._FilterDatabase" localSheetId="2" hidden="1">扫描结果!$A$1:$I$3</definedName>
  </definedNames>
  <calcPr calcId="162913"/>
</workbook>
</file>

<file path=xl/calcChain.xml><?xml version="1.0" encoding="utf-8"?>
<calcChain xmlns="http://schemas.openxmlformats.org/spreadsheetml/2006/main">
  <c r="D3" i="6" l="1"/>
  <c r="E3" i="6"/>
  <c r="F3" i="6"/>
  <c r="G3" i="6"/>
  <c r="G2" i="6"/>
  <c r="F2" i="6"/>
  <c r="E2" i="6"/>
  <c r="D2" i="6"/>
  <c r="D5" i="7" a="1"/>
  <c r="E5" i="7" a="1"/>
  <c r="F5" i="7" a="1"/>
  <c r="F5" i="7" s="1"/>
  <c r="E5" i="7" l="1"/>
  <c r="D5" i="7"/>
  <c r="H5" i="7" l="1"/>
  <c r="E10" i="8" s="1" a="1"/>
  <c r="E10" i="8" s="1"/>
  <c r="G5" i="7"/>
  <c r="E8" i="8" l="1" a="1"/>
  <c r="E8" i="8" s="1"/>
  <c r="E9" i="8" a="1"/>
  <c r="E9" i="8" s="1"/>
  <c r="E11" i="8" l="1"/>
  <c r="F10" i="8" s="1"/>
  <c r="F8" i="8" l="1"/>
  <c r="F9" i="8"/>
  <c r="F11" i="8" l="1"/>
</calcChain>
</file>

<file path=xl/sharedStrings.xml><?xml version="1.0" encoding="utf-8"?>
<sst xmlns="http://schemas.openxmlformats.org/spreadsheetml/2006/main" count="3631" uniqueCount="2770">
  <si>
    <t>漏洞名称</t>
    <phoneticPr fontId="3" type="noConversion"/>
  </si>
  <si>
    <t>漏洞说明</t>
    <phoneticPr fontId="3" type="noConversion"/>
  </si>
  <si>
    <t>加固建议</t>
    <phoneticPr fontId="3" type="noConversion"/>
  </si>
  <si>
    <t>高</t>
    <phoneticPr fontId="3" type="noConversion"/>
  </si>
  <si>
    <r>
      <t>1</t>
    </r>
    <r>
      <rPr>
        <sz val="11"/>
        <color theme="1"/>
        <rFont val="宋体"/>
        <family val="3"/>
        <charset val="134"/>
        <scheme val="minor"/>
      </rPr>
      <t>.1.1.1</t>
    </r>
    <phoneticPr fontId="8" type="noConversion"/>
  </si>
  <si>
    <t>IP</t>
    <phoneticPr fontId="3" type="noConversion"/>
  </si>
  <si>
    <t>中</t>
    <phoneticPr fontId="3" type="noConversion"/>
  </si>
  <si>
    <t>Serv-U FTP Server &lt; 15.0.1.20 DoS</t>
  </si>
  <si>
    <t>MS04-022: Microsoft Windows Task Scheduler Remote Overflow (841873) (uncredentialed check)</t>
  </si>
  <si>
    <t>FTP Writable Directories</t>
  </si>
  <si>
    <t>PHP Unsupported Version Detection</t>
  </si>
  <si>
    <t>PHP &lt; 5.2.12 Multiple Vulnerabilities</t>
  </si>
  <si>
    <t>中</t>
  </si>
  <si>
    <t>高</t>
  </si>
  <si>
    <t>紧急</t>
  </si>
  <si>
    <t>PHP版本低于5.2.9</t>
  </si>
  <si>
    <t>建议升级 PHP 5.4.17或者最新版本</t>
  </si>
  <si>
    <t>PHP 版本5.4.x 低于 5.4.26</t>
  </si>
  <si>
    <t>建议升级 PHP 5.4.26或者最新版本</t>
  </si>
  <si>
    <t>建议升级 PHP 5.4.27或者最新版本</t>
  </si>
  <si>
    <t>PHP 版本5.4.x 低于 5.4.32</t>
  </si>
  <si>
    <t>建议升级 PHP 5.4.32或者最新版本</t>
  </si>
  <si>
    <t>PHP 版本5.4.x 低于 5.4.34</t>
  </si>
  <si>
    <t>建议升级 PHP 5.4.34或者最新版本</t>
  </si>
  <si>
    <t>紧急</t>
    <phoneticPr fontId="3" type="noConversion"/>
  </si>
  <si>
    <t>高危</t>
    <phoneticPr fontId="3" type="noConversion"/>
  </si>
  <si>
    <t>中危</t>
    <phoneticPr fontId="3" type="noConversion"/>
  </si>
  <si>
    <t>汇总</t>
    <phoneticPr fontId="3" type="noConversion"/>
  </si>
  <si>
    <t>风险等级</t>
    <phoneticPr fontId="3" type="noConversion"/>
  </si>
  <si>
    <t>主机风险</t>
    <phoneticPr fontId="3" type="noConversion"/>
  </si>
  <si>
    <t>系统名称</t>
    <phoneticPr fontId="3" type="noConversion"/>
  </si>
  <si>
    <t>系统1</t>
    <phoneticPr fontId="14" type="noConversion"/>
  </si>
  <si>
    <t>序号</t>
    <phoneticPr fontId="3" type="noConversion"/>
  </si>
  <si>
    <t>设备数量</t>
    <phoneticPr fontId="3" type="noConversion"/>
  </si>
  <si>
    <t xml:space="preserve"> 百分比</t>
    <phoneticPr fontId="3" type="noConversion"/>
  </si>
  <si>
    <t>低</t>
    <phoneticPr fontId="3" type="noConversion"/>
  </si>
  <si>
    <t>总计</t>
    <phoneticPr fontId="3" type="noConversion"/>
  </si>
  <si>
    <t>安全风险等级分布</t>
    <phoneticPr fontId="8" type="noConversion"/>
  </si>
  <si>
    <t>扫描结果汇总</t>
    <phoneticPr fontId="8" type="noConversion"/>
  </si>
  <si>
    <t>PHP 版本低于  5.2.4</t>
  </si>
  <si>
    <t>建议升级 PHP 5.2.4 或者最新版本</t>
  </si>
  <si>
    <t>PHP &lt; 5.2.5 Multiple Vulnerabilities</t>
  </si>
  <si>
    <t>PHP 版本低于  5.2.5</t>
  </si>
  <si>
    <t>建议升级 PHP 5.2.5 或者最新版本</t>
  </si>
  <si>
    <t>Apache版本低于 2.0.65</t>
  </si>
  <si>
    <t>升级apache版本到2.0.65 以上
http://httpd.apache.org/</t>
  </si>
  <si>
    <t>PHP 版本低于  5.3.6</t>
  </si>
  <si>
    <t>建议升级 PHP 5.3.6 或者最新版本</t>
  </si>
  <si>
    <t>PHP 5.3 &lt; 5.3.7 Multiple Vulnerabilities</t>
  </si>
  <si>
    <t>PHP 版本低于  5.3.7</t>
  </si>
  <si>
    <t>建议升级 PHP 5.3.7 或者最新版本</t>
  </si>
  <si>
    <t>PHP 版本低于  5.3.14</t>
  </si>
  <si>
    <t>建议升级 PHP 5.3.14 或者最新版本</t>
  </si>
  <si>
    <t>PHP 5.3.x &lt; 5.3.15 Multiple Vulnerabilities</t>
  </si>
  <si>
    <t>PHP 版本低于  5.3.15</t>
  </si>
  <si>
    <t>建议升级 PHP 5.3.15 或者最新版本</t>
  </si>
  <si>
    <t>PHP 版本低于  5.3.23</t>
  </si>
  <si>
    <t>建议升级 PHP 5.3.23 或者最新版本</t>
  </si>
  <si>
    <t>PHP 5.3.x &lt; 5.3.27 Multiple Vulnerabilities</t>
  </si>
  <si>
    <t>PHP 版本低于  5.3.27</t>
  </si>
  <si>
    <t>建议升级 PHP 5.3.27 或者最新版本</t>
  </si>
  <si>
    <t>PHP 版本低于  5.3.28</t>
  </si>
  <si>
    <t>建议升级 PHP 5.3.28 或者最新版本</t>
  </si>
  <si>
    <t>PHP 5.3.x &lt; 5.3.29 Multiple OpenSSL Vulnerabilities</t>
  </si>
  <si>
    <t>PHP 版本低于  5.3.29</t>
  </si>
  <si>
    <t>建议升级 PHP 5.3.29 或者最新版本</t>
  </si>
  <si>
    <t>Tomcat版本较低，导致存在多个漏洞。</t>
  </si>
  <si>
    <t>MySQL Anonymous Login Handshake Remote Information Disclosure</t>
  </si>
  <si>
    <t>MySQL匿名登陆远程信息泄露</t>
  </si>
  <si>
    <t xml:space="preserve"> MySQL是一款使用非常广泛的开放源代码关系数据库系统，拥有各种平台的运行版本，通过创建特制的畸形登录报文，数据库返回信息中的数据库名会被一些未初始化的内存内容填充，从而导致信息泄漏。</t>
  </si>
  <si>
    <t>升级MySQL版本至 4.0.27 / 4.1.19 / 5.0.21 / 5.1.10 及以上版本</t>
  </si>
  <si>
    <t>IBM WebSphere Application Server 6.1 &lt; 6.1.0.35 Multiple Vulnerabilities</t>
  </si>
  <si>
    <t>IBM WebSphere应用服务器版本低于6.1.0.35，存在多种安全漏洞</t>
  </si>
  <si>
    <t xml:space="preserve">  IBM WebSphere Application Server 是一个完善的、开放的Web应用服务器，是IBM电子商务应用架构的核心。 
  IBM WebSphere Application Server (WAS) 6.1.0.35之前的6.1版本，以及7.0.0.13之前的7.0版本的管理控制台中存在跨站脚本攻击漏洞。远程攻击者可以借助未明向量注入任意web脚本或者HTML。</t>
  </si>
  <si>
    <t>升级IBM WebSphere应用服务器版本至6.1.0.35及以上
相关链接：
http://www-01.ibm.com/support/docview.wss?uid=swg21404665
http://www-01.ibm.com/support/docview.wss?uid=swg27009778
http://www-01.ibm.com/support/docview.wss?uid=swg27007951#61035</t>
  </si>
  <si>
    <t xml:space="preserve"> IBM WebSphere Application Server 6.1 &lt; 6.1.0.37 Multiple Vulnerabilities</t>
  </si>
  <si>
    <t>IBM WebSphere应用服务器版本低于6.1.0.37，存在多种安全漏洞</t>
  </si>
  <si>
    <t xml:space="preserve">  IBM WebSphere Application Server 是一个完善的、开放的Web应用服务器，是IBM电子商务应用架构的核心。 
  IBM WebSphere Application Server (WAS) 6.1.0.37之前的6.1版本管理控制台中存在多种安全漏洞。</t>
  </si>
  <si>
    <t>升级IBM WebSphere应用服务器版本至6.1.0.36及以上
相关链接：
http://www-01.ibm.com/support/docview.wss?uid=swg21404665
http://www-01.ibm.com/support/docview.wss?uid=swg27009778
http://www-01.ibm.com/support/docview.wss?uid=swg21473989
http://www-01.ibm.com/support/docview.wss?uid=swg1PM19534
http://www-1.ibm.com/support/docview.wss?uid=swg1PM24668
http://www-01.ibm.com/support/docview.wss?uid=swg27007951#61037</t>
  </si>
  <si>
    <t>IBM WebSphere Application Server 6.1 &lt; 6.1.0.39 Multiple Vulnerabilities</t>
  </si>
  <si>
    <t>IBM WebSphere应用服务器版本低于6.1.0.39，存在多种安全漏洞</t>
  </si>
  <si>
    <t xml:space="preserve">  IBM WebSphere Application Server 是一个完善的、开放的Web应用服务器，是IBM电子商务应用架构的核心。 
  IBM WebSphere Application Server (WAS) 6.1.0.39之前的6.1版本管理控制台中存在多种安全漏洞。</t>
  </si>
  <si>
    <t>升级IBM WebSphere应用服务器版本至6.1.0.39及以上
相关链接：
http://www-01.ibm.com/support/docview.wss?uid=swg21404665
http://www-01.ibm.com/support/docview.wss?uid=swg27009778
http://www-01.ibm.com/support/docview.wss?uid=swg27007951#61039</t>
  </si>
  <si>
    <t>IBM WebSphere Application Server 6.1 &lt; 6.1.0.41 Multiple Vulnerabilities</t>
  </si>
  <si>
    <t>IBM WebSphere应用服务器版本低于6.1.0.41，存在多种安全漏洞</t>
  </si>
  <si>
    <t xml:space="preserve">  IBM WebSphere Application Server (WAS) 6.1.0.41之前的6.1版本，7.0.0.19之前的7.0版本以及8.0.0.1之前的8.0版本的管理控制台中存在目录遍历漏洞。远程攻击者可借助URI中的“..”（点点）读取任意文件。</t>
  </si>
  <si>
    <t>升级IBM WebSphere应用服务器版本至6.1.0.41及以上
相关链接：
http://www-01.ibm.com/support/docview.wss?uid=swg21404665
http://www-01.ibm.com/support/docview.wss?uid=swg27009778
http://www-01.ibm.com/support/docview.wss?rs=180&amp;uid=swg24031034</t>
  </si>
  <si>
    <t>IBM WebSphere Application Server 6.1 &lt; 6.1.0.43 Multiple Vulnerabilities</t>
  </si>
  <si>
    <t>IBM WebSphere应用服务器版本低于6.1.0.43，存在多种安全漏洞</t>
  </si>
  <si>
    <t xml:space="preserve">  IBM WebSphere Application Server (WAS) 6.1.0.43之前的6.1版本，存在多个安全漏洞。</t>
  </si>
  <si>
    <t>升级IBM WebSphere应用服务器版本至6.1.0.43及以上
相关链接：
http://www.nessus.org/u?ca3789f7
http://www-01.ibm.com/support/docview.wss?uid=swg21404665
http://www-01.ibm.com/support/docview.wss?uid=swg27009778
https://www-304.ibm.com/support/docview.wss?uid=swg21587015
https://www-304.ibm.com/support/docview.wss?uid=swg21577532
http://www.nessus.org/u?609dea34
http://www-01.ibm.com/support/docview.wss?uid=swg27007951#61043</t>
  </si>
  <si>
    <t xml:space="preserve"> MySQL Default Account Credentials</t>
  </si>
  <si>
    <t xml:space="preserve"> MySQL默认账号密码</t>
  </si>
  <si>
    <t xml:space="preserve"> MySQL数据库服务器存在默认账户，该漏洞源于scrutinizer账户的默认账户</t>
  </si>
  <si>
    <t>删除受影响的默认账户，或者更换符合密码复杂度的口令</t>
  </si>
  <si>
    <t xml:space="preserve"> IBM WebSphere Application Server 6.1 &lt; Fix Pack 45 Multiple Vulnerabilities</t>
  </si>
  <si>
    <t>IBM WebSphere应用服务器版本低于补丁包45版本，存在多种安全漏洞</t>
  </si>
  <si>
    <t xml:space="preserve">  IBM WebSphere Application Server (WAS)为6.1之前版本，低于补丁包45要求版本，存在多个安全漏洞。</t>
  </si>
  <si>
    <t>升级IBM WebSphere应用服务器版本，应用补丁包45升级
相关链接：
http://www-01.ibm.com/support/docview.wss?uid=swg21404665
http://www-01.ibm.com/support/docview.wss?uid=swg27009778
http://www.nessus.org/u?bad06dcb
http://www.nessus.org/u?58770565
http://www.nessus.org/u?80adf3bd
http://www.nessus.org/u?fcf28d02
https://www-304.ibm.com/support/docview.wss?uid=swg21618044
https://www-304.ibm.com/support/docview.wss?uid=swg21620517
https://www-304.ibm.com/support/docview.wss?uid=swg21620518
https://www-304.ibm.com/support/docview.wss?uid=swg21611311
http://www-01.ibm.com/support/docview.wss?uid=swg24033269
http://www-01.ibm.com/support/docview.wss?rs=180&amp;uid=swg27007951#61045</t>
  </si>
  <si>
    <t xml:space="preserve"> IBM WebSphere Application Server 6.1 &lt; Fix Pack 47 Multiple Vulnerabilities</t>
  </si>
  <si>
    <t>IBM WebSphere应用服务器版本低于补丁包47版本，存在多种安全漏洞</t>
  </si>
  <si>
    <t xml:space="preserve">  IBM WebSphere Application Server (WAS)为6.1之前版本，低于补丁包47要求版本，存在多个安全漏洞。</t>
  </si>
  <si>
    <t>升级IBM WebSphere应用服务器版本，应用补丁包47升级
相关链接：
http://www.nessus.org/u?187690fd
https://www-304.ibm.com/support/docview.wss?uid=swg21647522
http://www-01.ibm.com/support/docview.wss?uid=swg24035508
https://www-304.ibm.com/support/docview.wss?&amp;uid=swg27004980#ver61</t>
  </si>
  <si>
    <t>Apache &lt; 1.3.29 Multiple Modules Local Overflow</t>
  </si>
  <si>
    <t>Apache版本低于1.3.29，多种模块存在缓冲区溢出漏洞</t>
  </si>
  <si>
    <t>Apache是一款广泛使用的开放源代码WEB服务程序。Apache的mod_alias和mod_rewrite模块中存在缓冲区溢出漏洞，可能允许本地攻击者在有漏洞的主机上执行任意代码。如果正则表达式配置了多于9个捕获括号的话，就可能导致mod_alias和mod_rewrite模块出现缓冲区溢出。攻击者可以通过创建特制的配置文件导致拒绝服务(崩溃)或执行任意代码。</t>
  </si>
  <si>
    <t xml:space="preserve"> 目前厂商已经发布了升级补丁以修复这个安全问题，请到厂商的主页下载： http://httpd.apache.org/download.cgi</t>
  </si>
  <si>
    <t>Apache mod_proxy Content-Length Overflow</t>
  </si>
  <si>
    <t>Apache mod_proxy远程缓冲区溢出漏洞</t>
  </si>
  <si>
    <t>mod_proxy是一个可在Apache使用的代理模块。mod_proxy在处理负的Content-Length值时存在问题，远程攻击者可以利用这个漏洞进行缓冲区溢出攻击，可能以Apache进程权限在系统上执行任意指令。
连接远程服务器使其返回非法(负值)的Content-Length，可使Mod_proxy触发基于整数的溢出，会导致Apache子进程崩溃。问题存在于proxy_util.c中：
n = ap_bread(f， buf， MIN((int)buf_size，(int)(len - total_bytes_rcvd)));这里len可为负值。在旧的OpenBSD/FreeBSD系统中可利用memcpy的反向拷贝实现来执行任意指令。新的BSD系统中由于攻击者可以控制3个任意字节也能用于执行任意指令。如果define AP_ENABLE_EXCEPTION_HOOK启用的情况下，可能在任何平台都可被利用。</t>
  </si>
  <si>
    <t>升级Apache版本至1.3.32及以上版本
相关链接：
http://archives.neohapsis.com/archives/fulldisclosure/2004-06/0276.html
http://archives.neohapsis.com/archives/fulldisclosure/2004-06/0279.html</t>
  </si>
  <si>
    <t>IBM WebSphere Application Server SOAP Connector Error Page XSS</t>
  </si>
  <si>
    <t>IBM WebSphere应用服务器SOAP错误页码跨站脚本攻击漏洞</t>
  </si>
  <si>
    <t xml:space="preserve">  IBM WebSphere Application Server 5.0.2 及之前版本, 5.1.1.12之前的5.1.x , 以及6.0.2到6.0.2.7版本的 SOAP端口(8880/tcp) 上的500 Internal Server Error 页中存在跨站脚本攻击漏洞。远程攻击者可以借助该页的FAULTACTOR元素中包含的URI，注入任意Web脚本或HTML 。</t>
  </si>
  <si>
    <t>根据当前IBM WebSphere当前版本，升级至5.1.1/6.0.2及以上版本
相关链接：
http://www.securityfocus.com/archive/1/450704/30/0/threaded
http://www-1.ibm.com/support/search.wss?rs=0&amp;q=PK16602&amp;apar=only</t>
  </si>
  <si>
    <t>Apache &lt; 1.3.37 mod_rewrite LDAP Protocol URL Handling Overflow</t>
  </si>
  <si>
    <t>Apache版本低于1.3.37，mod_rewrite模块单字节缓冲区溢出漏洞</t>
  </si>
  <si>
    <t>Apache是一款开放源代码WEB服务程序。Apache的mod_rewrite模块在转义绝对URI主题时存在单字节缓冲区溢出漏洞，攻击者可能利用此漏洞在服务器上执行任意指令。mod_rewrite模块的escape_absolute_uri()函数分离LDAP URL中的令牌时，会导致在字符指针数组以外写入指向用户控制数据的指针，这样就可能完全控制受影响的主机。</t>
  </si>
  <si>
    <t>升级Apache版本至1.3.37及以上版本
相关链接：
http://seclists.org/fulldisclosure/2006/Jul/671
http://www.securityfocus.com/archive//443870</t>
  </si>
  <si>
    <t>VNC Server Unauthenticated Access</t>
  </si>
  <si>
    <t>VNC服务未经身份验证访问漏洞</t>
  </si>
  <si>
    <t>VNC服务允许攻击者不通过访问控制即连接远程主机</t>
  </si>
  <si>
    <t>禁用“无验证”安全类型</t>
  </si>
  <si>
    <t>VNC Server Unauthenticated Access: Screenshot</t>
  </si>
  <si>
    <t>VNC服务器未经身份验证的访问:屏幕截图</t>
  </si>
  <si>
    <t>VNC服务允许攻击者不通过访问控制即连接远程主机，这可能运行攻击者连接服务并进行屏幕截图操作</t>
  </si>
  <si>
    <t>JBoss Enterprise Application Platform (EAP) Status Servlet Request Remote Information Disclosure</t>
  </si>
  <si>
    <t>JBossEAP 信息泄露漏洞</t>
  </si>
  <si>
    <t xml:space="preserve"> JBoss Enterprise Application PlatformJBoss Enterprise Application Platform是一款企业级应用平台，又称JBossEAP。JBossEAP4.2.0.CP03之前版本以及4.3.0.CP01之前的4.3.0版本存在信息泄露漏洞。上述版本允许远程攻击者通过对status servlet的一个请求，例如一个full=true 查询串，获得关于"配置的web内容" 的敏感信息。</t>
  </si>
  <si>
    <t>升级JBoss EAP版本至4.2.0.CP09 / 4.3.0.CP08
相关链接：
https://bugzilla.redhat.com/show_bug.cgi?id=457757
https://bugzilla.redhat.com/show_bug.cgi?id=585900</t>
  </si>
  <si>
    <t xml:space="preserve"> VMware ESX / ESXi Unsupported Version Detection</t>
  </si>
  <si>
    <t>VMware ESX / ESXi版本不支持</t>
  </si>
  <si>
    <t>厂商已不支持安装在远程主机的VMware ESX or ESXi版本，可能存在多种安全威胁。</t>
  </si>
  <si>
    <t>升级VMware ESX / ESXi至最新版本
相关链接：
https://www.vmware.com/support/policies/lifecycle.html
https://www.vmware.com/files/pdf/support/Product-Lifecycle-Matrix.pdf</t>
  </si>
  <si>
    <t xml:space="preserve"> /doc Directory Browsable</t>
  </si>
  <si>
    <t>/doc目录可被浏览</t>
  </si>
  <si>
    <t>Debian GNU/Linux上Apache的一个默认配置设置ServerRoot到/ usr / doc存在漏洞。远程攻击者利用该漏洞读取整个服务器的文档文件</t>
  </si>
  <si>
    <t>为 /doc directory设置访问控制权限，如果您使用Apache，您可以需要如此设置：&lt;Directory /usr/doc&gt;允许对本地目录进行访问权限控制，明确允许/拒绝策略。
相关链接：
http://projects.webappsec.org/Directory-Indexing</t>
  </si>
  <si>
    <t>Multiple Web Server printenv CGI Information Disclosure</t>
  </si>
  <si>
    <t>多种Web服务printenv CGI信息泄露</t>
  </si>
  <si>
    <t>远程WEB服务存在 'test-cgi' 测试脚本，printenv CGI可返回其环境变量，这给攻击者很多信息,如安装目录,服务器的IP地址(如果NAT实现),服务器管理员的电子邮件地址,服务器和模块版本中,shell环境变量……</t>
  </si>
  <si>
    <t>从/cgi-bin移除printenv</t>
  </si>
  <si>
    <t>Oracle Database Listener Program (tnslsnr) Service Blank Password</t>
  </si>
  <si>
    <t>Oracle数据库侦听器程序(tnslsnr)服务密码空白</t>
  </si>
  <si>
    <t>远程Oracle侦听器程序(tnslsnr)没有指定密码，攻击者可以利用这一点来任意关闭它,从而阻止合法用户使用它。</t>
  </si>
  <si>
    <t>使用lsnrctrl CHANGE_PASSWORD命令为侦听器指定一个密码。</t>
  </si>
  <si>
    <t>Oracle 9iAS DMS / JPM Pages Anonymous Access</t>
  </si>
  <si>
    <t>Oracle 9iAS DMS / JPM 页面匿名访问</t>
  </si>
  <si>
    <t xml:space="preserve"> Oracle 9i Application Server 1.0.2.x版本的默认配置存在漏洞。远程匿名用户可以无认证访问敏感服务，包括可以被用来控制Java进程的Dynamic Monitoring Services(1)dms0、(2)dms/DMSDump、(3)servlet/DMSDump、(4)servlet/Spy、(5)soap/servlet/Spy和(6)dms/AggreSpy;以及Oracle Java Process Manager(7)oprocmgr-status和(8)oprocmgr-service</t>
  </si>
  <si>
    <t>编辑http.conf，限制对/dms0的访问</t>
  </si>
  <si>
    <t>Oracle 9iAS Java Process Manager /oprocmgr-status Anonymous Process Manipulation</t>
  </si>
  <si>
    <t>Oracle 9iAS Java Process Manager /oprocmgr-status 匿名访问操作</t>
  </si>
  <si>
    <t>编辑http.conf，限制对/oprocmgr-status的访问</t>
  </si>
  <si>
    <t xml:space="preserve"> Apache Chunked Encoding Remote Overflow</t>
  </si>
  <si>
    <t>Apache分块编码远程溢出</t>
  </si>
  <si>
    <t>Apache Web Server是一款非常流行的开放源码、功能强大的Web服务器程序，由Apache Software Foundation开发和维护。它可以运行在多种操作系统平台下，例如Unix/Linux/BSD系统以及Windows系统。Apache在处理以分块(chunked)方式传输数据的HTTP请求时存在设计漏洞，远程攻击者可能利用此漏洞在某些Apache服务器上以Web服务器进程的权限执行任意指令或进行拒绝服务攻击。</t>
  </si>
  <si>
    <t>升级Apache web服务版本至1.3.26 or 2.0.39及以上版本
相关链接：
http://httpd.apache.org/info/security_bulletin_20020617.txt
http://httpd.apache.org/info/security_bulletin_20020620.txt</t>
  </si>
  <si>
    <t>Apache &lt; 1.3.27 Multiple Vulnerabilities (DoS, XSS)</t>
  </si>
  <si>
    <t>Apache版本低于1.3.27，存在多种安全漏洞（DOS，XSS）</t>
  </si>
  <si>
    <t>Apache版本低于1.3.27，可能导致多种安全漏洞。</t>
  </si>
  <si>
    <t>升级Apache web服务版本至1.3.27及以上版本
相关链接：
http://archives.neohapsis.com/archives/bugtraq/2002-10/0195.html
http://archives.neohapsis.com/archives/vulnwatch/2002-q4/0012.html
http://archives.neohapsis.com/archives/bugtraq/2002-11/0137.html
http://archives.neohapsis.com/archives/vulnwatch/2002-q4/0003.html</t>
  </si>
  <si>
    <t>Oracle 9iAS soapdocs Directory Remote Information Disclosure</t>
  </si>
  <si>
    <t>Oracle 9iAS soapdocs 目录远程信息泄露</t>
  </si>
  <si>
    <t>默认SOAP安装包含的安装脚本，可能访问Oracle 9iAS Application Server's SOAP文件目录，这些文件对攻击者来说可以判定那些应用服务程序在使用。</t>
  </si>
  <si>
    <t>从Oracle 9iAS 'http.conf'中删除'soapdocs' 别名</t>
  </si>
  <si>
    <t>Oracle 9iAS XSQLServlet soapConfig.xml Authentication Credentials Disclosure</t>
  </si>
  <si>
    <t>Oracle 9iAS XSQLServlet soapConfig.xml身份认证凭证泄露</t>
  </si>
  <si>
    <t xml:space="preserve"> Oracle 9iAS包含了两个重要的配置文件叫"XSQLConfig.xml"和"soapConfig.xml"，它们分别是XSQL和SOAP组件的配置文件，其中存放了一些敏感信息比如数据库服务器主机名、数据库用户名和口令等等。Oracle 9iAS在这两个敏感文件的访问控制上存在问题，导致远程攻击者可能得到其中的信息。Oracle 9iAS对这些配置文件的访问没有做任何认证，任何客户端可以轻易地通过Web虚拟目录访问到这两个文件。</t>
  </si>
  <si>
    <t>临时解决方法：如果您不能立刻安装补丁或者升级，Oracle建议您采取以下措施以降低威胁： 
 * 对两个配置文件设置正确的访问权限，禁止匿名用户访问。
厂商补丁：目前厂商还没有提供补丁或者升级程序，建议用户随时关注厂商的主页以获取最新版本： http://metalink.oracle.com/</t>
  </si>
  <si>
    <t>Oracle 9iAS Nonexistent .jsp File Request Error Message Path Disclosure</t>
  </si>
  <si>
    <t>Oracle 9iAS 不存在的 .jsp文件请求错误信息路径泄露漏洞</t>
  </si>
  <si>
    <t>Oracle 9i应用服务器1.0.2版本存在漏洞。远程攻击者可以借助对不存在.JSP文件的请求获取服务器根目录下文件的物理路径。该漏洞在出错消息中泄露了路径名。</t>
  </si>
  <si>
    <t>1、确保虚拟路径的URL不同于实际的目录路径。同时,不要使用&lt; servletzonepath &gt;目录”ApJServMount &lt; servletzonepath &gt; &lt; servletzone &gt; '来存储数据或文件。
2、升级到Oracle 9 ias 1.1.2.0.0也可解决这个问题。
相关链接：
http://www.nessus.org/u?8d439be5
http://www.nessus.org/u?97653726</t>
  </si>
  <si>
    <t>Oracle 9iAS Default SOAP Configuration Unauthorized Application Deployment</t>
  </si>
  <si>
    <t>Oracle 9iAS SOAP默认配置漏洞</t>
  </si>
  <si>
    <t>Oracle 9iAS是一种大型的关系数据库系统，由Oracle公司开发和维护。 它支持简单对象访问协议(SOAP)协议，它是一种基于XML的协议，Oracle用它来对数据库服务进行Web管理。Oracle 9iAS 1.0.2.2.1缺省安装并使用了SOAP组件，远程攻击者无须认证即可配置或关闭(deploy/undploy)SOAP的提供者及服务，与其它漏洞结合，攻击者可能进行更进一步的破坏。</t>
  </si>
  <si>
    <t>临时解决方法：如果您不能立刻安装补丁或者升级，David Litchfield 建议您采取以下措施以降低威胁： 
 * 如果您不需要SOAP组件，您应该立刻关闭SOAP。 
 编辑"$ORACLE_HOME/Apache/Jserv/etc/jserv.conf"配置文件，删除或者注释掉下面的行： 
        ApJServGroup group2 1 1 
        $ORACLE_HOME/Apache/Jserv/etc/jservSoap.properties 
        ApJServMount /soap/servlet ajpv12://localhost:8200/soap 
        ApJServMount /dms2 ajpv12://localhost:8200/soap 
        ApJServGroupMount /soap/servlet balance://group2/soap 
 * 如果您需要SOAP，您应该关闭它的自动deploy功能。 
  编辑"$ORACLE_HOME/soap/werbapps/soap/WEB-INF/config/soapConfig.xml"文件，加入以下的行： 
 * 限制访问SOAP deploy/undeploy功能的用户，应该只有管理员和可信用户可以使用此功能。
 厂商补丁：
 目前厂商已经提供了解决方案以修复这个安全问题，请参看下列厂商安全公告       http://technet.oracle.com/deploy/security/pdf/ias_soap_alert.pdf</t>
  </si>
  <si>
    <t>OpenSSL &lt; 0.9.6j / 0.9.7b Multiple Vulnerabilities</t>
  </si>
  <si>
    <t>OpenSSL版本低于0.9.6j/ 0.9.7b，存在多种安全漏洞</t>
  </si>
  <si>
    <t>远程主机的OpenSSL版本已低于0.9.6j/ 0.9.7b，这可能遭受多种安全威胁攻击，例如中间人攻击等</t>
  </si>
  <si>
    <t>升级版本至0.9.6j (0.9.7b)及以上版本
相关链接：
http://www.openssl.org/news/secadv_20030219.txt
http://eprint.iacr.org/2003/052/</t>
  </si>
  <si>
    <t>Oracle 9iAS PL/SQL Gateway Web Admin Interface Null Authentication</t>
  </si>
  <si>
    <t>Oracle 9iAS Apache PL/SQL模块Web管理页面访问控制漏洞</t>
  </si>
  <si>
    <t>Oracle 9iAS的Web服务部分是由增加了PL/SQL支持模块的Apache服务器提供。主机上相关的用于管理的Web页面可以使用户修改数据库访问描述符和缓存设置。
Oracle 9iAS的Web管理页面访问控制上存在问题，远程攻击者可能利用此漏洞更改系统设置，造成拒绝服务攻击。
默认安装情况下，对于那些管理页面的访问不需要认证，这就使任意远程攻击者可以通过访问那些管理页面执行某些操作，更改PL/SQL应用程序或者使合法用户不能访问服务器程序。</t>
  </si>
  <si>
    <t>临时解决方法：
如果您不能立刻安装补丁或者升级，建议您采取以下措施以降低威胁： 
* 在/Apache/modplsql/cfg/wdbsvr.app文件中对可以访问的用户名等相关信息进行设置，确信只有合法用户才能访问。
厂商补丁：
目前厂商已经提供了解决方案以修复这个安全问题，请到厂商的主页下载： 
http://otn.oracle.com/deploy/security/pdf/ias_modplsql_alert.pdf</t>
  </si>
  <si>
    <t>Apache &lt; 1.3.28 Multiple Vulnerabilities (DoS, ID)</t>
  </si>
  <si>
    <t>Apache版本低于1.3.28，存在多种安全漏洞（Oos，ID）</t>
  </si>
  <si>
    <t xml:space="preserve"> Apache HTTP服务器是流行的开源WEB服务器程序，可使用在Unix和Windows操作系统下。
Apache HTTP 1.3.28修补了多个漏洞，这些漏洞包括拒绝服务攻击、文件描述符泄露、日志记录失败等问题。</t>
  </si>
  <si>
    <t>临时解决方法：
如果您不能立刻安装补丁或者升级，建议您采取以下措施以降低威胁： 
* 在CustomLog或ErrorLog中禁用rotatelog工具。
厂商补丁：
 Apache Software Foundation
--------------------------
目前厂商已经发布了升级补丁以修复这个安全问题，请到厂商的主页下载： 
Apache Software Foundation Upgrade Apache httpd 1.3.28 
http://httpd.apache.org/download.cgi</t>
  </si>
  <si>
    <t>OpenSSL &lt; 0.9.6m / 0.9.7d Multiple Remote DoS</t>
  </si>
  <si>
    <t>OpenSSL版本低于0.9.6m / 0.9.7d，存在多种远程Dos攻击</t>
  </si>
  <si>
    <t>根据主机的OpenSSL版本信息，可能导致攻击者对远程主机发起拒绝服务攻击</t>
  </si>
  <si>
    <t>升级版本至0.9.6m / 0.9.7d 及以上版本
相关链接：
http://www.openssl.org/news/secadv_20040317.txt
http://archives.neohapsis.com/archives/bugtraq/2004-03/0165.html</t>
  </si>
  <si>
    <t>mod_ssl ssl_util_uuencode_binary Remote Overflow</t>
  </si>
  <si>
    <t>Apache Mod_SSL SSL_Util_UUEncode_Binary堆栈缓冲区溢出漏洞</t>
  </si>
  <si>
    <t>Mod_SSL是Apache服务器上的SSL实现，用来为Apache Web服务器提供加密支持。Apache mod_ssl 2.8.17及其以前版本的实现中模块ssl_util.c的‘ssl_util_uuencode_binary’函数存在问题，远程攻击者可以利用使用该函数的ssl_engine_kernel.c模块进行拒绝服务攻击或可能以WEB进程执行任意指令。</t>
  </si>
  <si>
    <t>升级Apache版本至2.8.18 (Apache 1.3)或者2.0.50.</t>
  </si>
  <si>
    <t>Apache &lt; 1.3.31 / 2.0.49 Socket Connection Blocking Race Condition DoS</t>
  </si>
  <si>
    <t>Apache版本低于1.3.31 / 2.0.49，存在拒绝服务攻击漏洞</t>
  </si>
  <si>
    <t>运行在远程主机上的Apache版本低于1.3.31 / 2.0.49，这些版本容易受到拒绝服务攻击，攻击者可以通过一个极少使用的端口连接侦探SOCKET，从而阻断其它新的连接。这种问题可影响一些AIX Solaris和Tru64系统版本，不会影响 FreeBSD 或Linux</t>
  </si>
  <si>
    <t>升级Apache版本至2.0.49 or 1.3.31。
相关链接：
http://archives.neohapsis.com/archives/bugtraq/2004-03/0192.html</t>
  </si>
  <si>
    <t>Apache mod_ssl ssl_engine_log.c mod_proxy Hook Function Remote Format String</t>
  </si>
  <si>
    <t>Apache mod_ssl ssl_engine_log.c mod_proxy Hook Function远程格式化字符串漏洞</t>
  </si>
  <si>
    <t>mod_ssl版本低于2.8.19，远程主机的日志函数模块存在格式化字符串，使得攻击者可以执行任意代码。</t>
  </si>
  <si>
    <t>升级 mod_ssl版本至2.8.19及以上
相关链接：
http://marc.info/?l=apache-modssl&amp;m=109001100906749&amp;w=2
http://marc.info/?l=bugtraq&amp;m=109005001205991&amp;w=2</t>
  </si>
  <si>
    <t>OpenSSL &lt; 0.9.6e Multiple Vulnerabilities</t>
  </si>
  <si>
    <t>OpenSSL版本低于0.9.6e，存在多种安全漏洞</t>
  </si>
  <si>
    <t>远程主机存在多个与SSL相关的安全漏洞，例如在64位系统下，OpenSSL在很多缓冲区中对于整形数的ASCII表示方法不正确，可能导致攻击者进行拒绝服务攻击或通过溢出攻击在主机上执行任意指令、缓冲区溢出导致攻击者可执行任意代码、OpenSSL的ASN1解释器在处理无效的编码方式时存在漏洞，远程攻击者可能利用此漏洞对使用了ASN1库的应用程序进行拒绝服务攻击。</t>
  </si>
  <si>
    <t>升级OpenSSL版本至0.9.6e及以上版本</t>
  </si>
  <si>
    <t>OpenSSL &lt; 0.9.6f Denial of Service</t>
  </si>
  <si>
    <t>OpenSSL版本低于0.9.6f，存在拒绝服务攻击漏洞</t>
  </si>
  <si>
    <t>OpenSSL版本低于0.9.6f，可能使远程攻击者通过伪造一个 SSLv2 CLIENT_MASTER_KEY 信息，发起拒绝服务攻击。</t>
  </si>
  <si>
    <t>升级OpenSSL版本至0.9.6f及以上版本。 
相关链接：
http://cvs.openssl.org/chngview?cn=7659
http://www.securityfocus.com/archive/1/339948</t>
  </si>
  <si>
    <t>OpenSSL &lt; 0.9.6k Denial of Service</t>
  </si>
  <si>
    <t>OpenSSL版本低于0.9.6k，存在拒绝服务攻击漏洞</t>
  </si>
  <si>
    <t>OpenSSL版本低于0.9.6k，可能使远程攻击者通过提交一个无效的客户端证书，发起拒绝服务攻击。</t>
  </si>
  <si>
    <t>升级OpenSSL版本至0.9.6k及以上版本。</t>
  </si>
  <si>
    <t>OpenSSL &lt; 0.9.6l Denial of Service</t>
  </si>
  <si>
    <t>OpenSSL版本低于0.9.6l，存在拒绝服务攻击漏洞</t>
  </si>
  <si>
    <t>OpenSSL版本低于0.9.6l，可能使远程攻击者通过提交一个无效的客户端证书，发起拒绝服务攻击。</t>
  </si>
  <si>
    <t>升级OpenSSL版本至0.9.6l及以上版本。
相关链接：
http://www.openssl.org/news/secadv_20031104.txt
http://marc.info/?l=bugtraq&amp;m=106796246511667&amp;w=2</t>
  </si>
  <si>
    <t xml:space="preserve"> OpenSSL &lt; 0.9.6m / 0.9.7d Denial of Service</t>
  </si>
  <si>
    <t>OpenSSL版本低于0.9.6m / 0.9.7d，存在拒绝服务攻击漏洞</t>
  </si>
  <si>
    <t>OpenSSL版本低于0.9.6m / 0.9.7d，可能使远程攻击者发送超过规定长度的 Kerberos凭证，使服务器崩溃。</t>
  </si>
  <si>
    <t>升级OpenSSL版本至0.9.6m / 0.9.7d及以上版本。
相关链接：
http://www.us-cert.gov/cas/techalerts/TA04-078A.html
http://www.openssl.org/news/secadv_20040317.txt
http://marc.info/?l=bugtraq&amp;m=107953412903636&amp;w=2</t>
  </si>
  <si>
    <t>OpenSSL 0.9.6 CA Basic Constraints Validation Vulnerability</t>
  </si>
  <si>
    <t>OpenSSL 证书校验漏洞</t>
  </si>
  <si>
    <t>OpenSSL是一款开放源代码的实现了SSL及相关加密技术的软件包。 
OpenSSL0.9.6版本可能没有校验中间有符号的计算机存储证书的基本限制，这会允许远程攻击者可以借助一个中间人攻击，骗取可靠网址的证书。</t>
  </si>
  <si>
    <t>升级OpenSSL版本至0.9.7及以上版本
相关链接：
http://www.nessus.org/u?8e41b7c3</t>
  </si>
  <si>
    <t>OpenSSL &lt; 0.9.7-beta3 Buffer Overflow</t>
  </si>
  <si>
    <t>OpenSSL版本低于0.9.7-beta3，存在缓冲区溢出漏洞</t>
  </si>
  <si>
    <t>OpenSSL是一种开放源码的SSL实现，用来实现网络通信的高强度加密，现在被广泛地用于各种网络应用程序中。OpenSSL的实现上存在缓冲区溢出漏洞，远程攻击者可能利用溢出攻击在服务器端或客户端执行任意指令。远程攻击者可能发送超长的SSL版本3的客户端密钥，溢出服务器端守护进程的缓冲区，从而以守护进程的权限执行任意指令。这个漏洞只影响OpenSSL 0.9.7到0.9.7-beta3之间(不包括beta3)并打开了Kerberos选项的版本。</t>
  </si>
  <si>
    <t>临时解决方法：如果您不能立刻安装补丁或者升级，建议您采取以下措施以降低威胁： 
* 服务器端暂时禁止使用Kerberos
厂商补丁：
 OpenSSL Project已经为此发布了一个安全公告(secadv_20020730)以及相应补丁: 
secadv_20020730：OpenSSL Security Advisory [30 July 2002] 
链接：http://www.openssl.org/news/secadv_20020730.txt 
补丁下载： 
OpenSSL 0.9.7-beta3: http://www.openssl.org/source/openssl-0.9.7-beta3.tar.gz</t>
  </si>
  <si>
    <t xml:space="preserve"> OpenSSL &lt; 0.9.8 Weak Default Configuration</t>
  </si>
  <si>
    <t>OpenSSL版本低于0.9.8，存在弱默认配置漏洞</t>
  </si>
  <si>
    <t>SSL是Secure Socket Layer(安全套接层协议)的缩写，可以在Internet上提供秘密性传输。OpenSSL 0.9.8版本之前的默认配置使用MD5创建消息摘要，而非使用强加密算法，从而使远程攻击者更容易使用有效的证书认证机构的签名来伪造证书。</t>
  </si>
  <si>
    <t>升级OpenSSL版本至0.9.8及以上版本
相关链接：
https://bugs.launchpad.net/ubuntu/+source/openssl/+bug/19835
http://www.ubuntu.com/usn/usn-179-1/</t>
  </si>
  <si>
    <t>OpenSSL &lt; 0.9.8f Multiple Vulnerabilities</t>
  </si>
  <si>
    <t>OpenSSL版本低于0.9.8f，存在多个安全漏洞</t>
  </si>
  <si>
    <t>OpenSSL是一种开放源码的SSL实现，用来实现网络通信的高强度加密，现在被广泛地用于各种网络应用程序中，此版本存在以下两个漏洞：
（1）OpenSSL 0.9.8e及之前版本中的某些RSA的实现上存在可重建密钥的漏洞，OpenSSL基于SSLeay，提供RSA算法的加密支持，本地攻击者可能利用此漏洞通过RSA算法解密加密信息的内容。多种使用了OpenSSL的产品可能受此漏洞影响。
（2）OpenSSL的DTLS支持中存在漏洞，攻击者可以创建能够触发堆溢出的恶意客户端或服务器，导致执行任意指令，请注意这个漏洞仅影响使用DTLS的应用程序。</t>
  </si>
  <si>
    <t>升级OpenSSL版本至0.9.8f及以上版本
相关链接：
http://cvs.openssl.org/chngview?cn=16275
http://openssl.org/news/patch-CVE-2007-3108.txt
http://www.kb.cert.org/vuls/id/RGII-74KLP3
http://www.openssl.org/news/secadv_20071012.txt</t>
  </si>
  <si>
    <t>OpenSSL &lt; 0.9.8i Denial of Service</t>
  </si>
  <si>
    <t>OpenSSL版本低于0.9.8i，存在拒绝服务攻击漏洞</t>
  </si>
  <si>
    <t>OpenSSL是一种开放源码的SSL实现，用来实现网络通信的高强度加密，现在被广泛地用于各种网络应用程序中 。如果在ClientHello报文之前发送了DTLS ChangeCipherSpec报文，就可能在OpenSSL的ssl/s3_pkt.c文件中触发空指针引用，导致拒绝服务的情况 。</t>
  </si>
  <si>
    <t>升级OpenSSL版本至0.9.8i及以上版本
相关链接：
http://cvs.openssl.org/chngview?cn=17369
http://rt.openssl.org/Ticket/Display.html?id=1679&amp;user=guest&amp;pass=guest</t>
  </si>
  <si>
    <t xml:space="preserve"> OpenSSL &lt; 0.9.8j Signature Spoofing</t>
  </si>
  <si>
    <t>OpenSSL版本低于0.9.8j，存在签名验证漏洞</t>
  </si>
  <si>
    <t>OpenSSL是一种开放源码的SSL实现，用来实现网络通信的高强度加密，现在被广泛地用于各种网络应用程序中。某些OpenSSL函数在验证DSA和ECDSA密钥签名时没有正确地验证函数EVP_VerifyFinal()的返回值，畸形的签名可能被处理为有效签名而不是错误。恶意服务器或中间人攻击者可以在证书链中向客户端特制SSL/TLS签名来绕过有效性验证，诱骗客户端错误的信任恶意站点。</t>
  </si>
  <si>
    <t>升级OpenSSL版本至0.9.8j及以上版本
相关链接：
http://www.us-cert.gov/cas/techalerts/TA09-133A.html</t>
  </si>
  <si>
    <t>OpenSSL &lt; 0.9.8k Denial of Service</t>
  </si>
  <si>
    <t>OpenSSL版本低于0.9.8k，存在拒绝服务攻击漏洞</t>
  </si>
  <si>
    <t>主机OpenSSL版本低于0.9.8K,这使得远程攻击者通过伪造ASN.1数据发起拒绝服务攻击</t>
  </si>
  <si>
    <t>升级OpenSSL版本至0.9.8k及以上版本
相关链接：
http://www.openssl.org/news/secadv_20090325.txt</t>
  </si>
  <si>
    <t>OpenSSL &lt; 0.9.8l Multiple Vulnerabilities</t>
  </si>
  <si>
    <t>OpenSSL版本低于0.9.8l，存在多个安全漏洞</t>
  </si>
  <si>
    <t>主机OpenSSL版本低于0.9.8l,这使得主机存在多个安全漏洞。</t>
  </si>
  <si>
    <t>升级OpenSSL版本至0.9.8l及以上版本
相关链接：
http://voodoo-circle.sourceforge.net/sa/sa-20090326-01.html
http://www.openssl.org/news/secadv_20090325.txt
http://voodoo-circle.sourceforge.net/sa/sa-20091012-01.html
http://rt.openssl.org/Ticket/Display.html?id=1930&amp;user=guest&amp;pass=guest
http://rt.openssl.org/Ticket/Display.html?id=1931&amp;user=guest&amp;pass=guest
http://cvs.openssl.org/chngview?cn=18187
http://cvs.openssl.org/chngview?cn=18188</t>
  </si>
  <si>
    <t>IBM Tivoli Storage Manager Multiple Remote Overflows</t>
  </si>
  <si>
    <t>IBM Tivoli Storage Manager多个远程缓冲区溢出漏洞</t>
  </si>
  <si>
    <t xml:space="preserve">  Tivoli Storage Manager是一种遵循ANSI SAN标准的可扩展解决方案，用于发现、监控和管理企业SAN架构组件，并可分配和自动操纵企业的附加磁盘存储资源。 
        Tivoli Storage Manager服务在处理发送到TCP/1500端口的消息时存在多个内存访问拷贝漏洞，远程攻击者可能利用这些漏洞导致服务崩溃或执行任意指令。 
        能够触发漏洞的消息格式为[index][size]，其中index字段指定了到消息体特定字段的整数偏移，size字段指定了index字段的大小。由于没有验证index字段，因此攻击者可以强制服务读过报文的末尾，到达未分配的内存，导致拒绝服务。通常size字段都会经过检查以确保不会超过数据所拷贝目标缓冲区的边界，但在有些情况下不会检查size文件： 
1 初始的注册请求包含有一个用于指定语言的字段。通常这个字符串为dscenu.txt，服务器会验证语言字符串不会超过0x100字节。但如果语言字符串的第一个字节为0x18，就不会进行这个检查，导致溢出固定大小的缓冲区。 
2 SmExecuteWdsfSession函数所处理的消息存在缓冲区溢出。在这个请求中有两个字段未经验证长度便拷贝到了固定大小的缓冲区。 
3 在开放注册消息中由于将注册的contact字段未经检查便拷贝到了固定大小的缓冲区，因此可能导致溢出。 
所有上述溢出漏洞都可能导致以Tivoli服务的权限执行任意指令。 </t>
  </si>
  <si>
    <t xml:space="preserve">  目前厂商已经发布了升级补丁以修复这个安全问题，请到厂商的主页下载： 
http://www-1.ibm.com/support/docview.wss?uid=swg21250261</t>
  </si>
  <si>
    <t>Microsoft Windows SMB Shares Unprivileged Access</t>
  </si>
  <si>
    <t>Microsoft Windows SMB 共享未授权访问漏洞</t>
  </si>
  <si>
    <t>通过给出的证书，远程主机拥有一个或多个网络共享，使远程攻击者利用这些共享权限读写保密信息。</t>
  </si>
  <si>
    <t>限制基于Windows下或浏览器下的共享权限，合理设置共享权限。</t>
  </si>
  <si>
    <t>MS10-054: Vulnerabilities in SMB Server Could Allow Remote Code Execution (982214) (remote check)</t>
  </si>
  <si>
    <t>SMB服务允许远程代码执行漏洞</t>
  </si>
  <si>
    <t>远程主机SMB服务允许远程攻击者执行任意代码攻击或拒绝服务攻击。</t>
  </si>
  <si>
    <t>目前厂商已发布Windows XP, Vista, 2008, 7, and 2008 R2平台的相关补丁
相关链接：
http://technet.microsoft.com/en-us/security/bulletin/MS10-054</t>
  </si>
  <si>
    <t>MS11-020: Vulnerability in SMB Server Could Allow Remote Code Execution (2508429) (remote check)</t>
  </si>
  <si>
    <t>Microsoft Windows SMB操作解析远程代码执行漏洞</t>
  </si>
  <si>
    <t>Microsoft Windows是微软发布的非常流行的操作系统。 
Microsoft Server Message Block (SMB)协议软件处理特制SMB报文时存在未经身份验证的远程代码执行漏洞。利用该漏洞不要求进行身份验证，从而使攻击者通过发送特制的SMB报文到运行Server服务的计算机来利用此漏洞。成功利用此漏洞可完全控制受影响系统。</t>
  </si>
  <si>
    <t>目前厂商已发布Windows XP, Vista, 2008, 7, and 2008 R2平台的相关补丁
相关链接：
http://technet.microsoft.com/en-us/security/bulletin/ms11-020</t>
  </si>
  <si>
    <t>OpenSSL &lt; 0.9.8h Multiple Vulnerabilities</t>
  </si>
  <si>
    <t>OpenSSL版本低于0.9.8h，存在多个安全漏洞</t>
  </si>
  <si>
    <t>主机OpenSSL版本低于0.9.8h,这使得主机存在多个安全漏洞。</t>
  </si>
  <si>
    <t>升级OpenSSL版本至0.9.8l及以上版本，或者使用厂家发布的补丁包进行升级
相关链接：
http://www.openwall.com/lists/oss-security/2011/12/01/6
http://www.openssl.org/news/secadv_20080528.txt</t>
  </si>
  <si>
    <t>OpenSSL &lt; 0.9.8s Multiple Vulnerabilities</t>
  </si>
  <si>
    <t>OpenSSL版本低于0.9.8s，存在多个安全漏洞</t>
  </si>
  <si>
    <t>主机OpenSSL版本低于0.9.8s,这使得主机存在多个安全漏洞。</t>
  </si>
  <si>
    <t>升级OpenSSL版本至0.9.8s及以上版本，或者使用厂家发布的补丁包进行升级
相关链接：
http://openssl.org/news/secadv_20120104.txt
http://www.openssl.org/news/changelog.html
http://www.nessus.org/u?c0f10f36
http://eprint.iacr.org/2011/232.pdf
http://cvs.openssl.org/chngview?cn=21301</t>
  </si>
  <si>
    <t>OpenSSL &lt; 0.9.8u Multiple Vulnerabilities</t>
  </si>
  <si>
    <t>OpenSSL版本低于0.9.9s，存在多个安全漏洞</t>
  </si>
  <si>
    <t>主机OpenSSL版本低于0.9.9u,这使得主机存在多个安全漏洞。</t>
  </si>
  <si>
    <t>升级OpenSSL版本至0.9.8u及以上版本，或者使用厂家发布的补丁包进行升级
相关链接：
http://marc.info/?l=openssl-dev&amp;amp;m=115685408414194&amp;amp;w=2
http://openssl.org/news/secadv_20120312.txt
http://www.openssl.org/news/changelog.html
http://www.openwall.com/lists/oss-security/2012/03/13/2
http://www.openwall.com/lists/oss-security/2012/02/28/14
http://www.nessus.org/u?4a3e3c8e
http://rt.openssl.org/Ticket/Display.html?id=2711&amp;user=guest&amp;pass=guest</t>
  </si>
  <si>
    <t xml:space="preserve"> OpenSSL &lt; 0.9.8w ASN.1 asn1_d2i_read_bio Memory Corruption</t>
  </si>
  <si>
    <t>OpenSSL版本低于0.9.8w，ASN.1 asn1_d2i_read_bio内存破坏漏洞</t>
  </si>
  <si>
    <t>OpenSSL是一种开放源码的SSL实现，用来实现网络通信的高强度加密，现在被广泛地用于各种网络应用程序中。 
（1）OpenSSL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
（2）OpenSSL 0.9.8v版本中的crypto/buffer/buffer.c中存在多个整数字符串错误漏洞。远程攻击者可利用这些漏洞借助特制DER数据导致缓冲区溢出攻击，造成拒绝服务（内存损坏）或可能有其他未明影响。该漏洞已被X.509证书或RSA公钥证实。</t>
  </si>
  <si>
    <t>升级OpenSSL版本至0.9.8w及以上版本
相关链接：
http://openssl.org/news/secadv_20120419.txt
http://seclists.org/fulldisclosure/2012/Apr/210
http://openssl.org/news/secadv_20120424.txt
http://cvs.openssl.org/chngview?cn=22479
http://www.openssl.org/news/changelog.html</t>
  </si>
  <si>
    <t>OpenSSL 0.9.8 &lt; 0.9.8x DTLS CBC Denial of Service</t>
  </si>
  <si>
    <t>OpenSSL版本低于0.9.8x，DTLS CBC拒绝服务攻击漏洞</t>
  </si>
  <si>
    <t>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</si>
  <si>
    <t>升级OpenSSL版本至0.9.8x及以上版本
相关链接：
http://openssl.org/news/secadv_20120510.txt
http://www.openssl.org/news/changelog.html
http://cvs.openssl.org/chngview?cn=22538
https://bugzilla.redhat.com/show_bug.cgi?id=820686</t>
  </si>
  <si>
    <t>OpenSSL &lt; 0.9.8y Multiple Vulnerabilities</t>
  </si>
  <si>
    <t>OpenSSL版本低于0.9.8y，存在多个安全漏洞</t>
  </si>
  <si>
    <t>主机OpenSSL版本低于0.9.8y,这使得主机存在多个安全漏洞。</t>
  </si>
  <si>
    <t>升级OpenSSL版本至0.9.8y及以上版本，或者使用厂家发布的补丁包进行升级
相关链接：
http://www.openssl.org/news/secadv_20130204.txt</t>
  </si>
  <si>
    <t>OpenSSL Unsupported</t>
  </si>
  <si>
    <t>OpenSSL版本已不再支持</t>
  </si>
  <si>
    <t>当前主机的OpenSSL版本已不再受厂商支持，这意味着厂商不再为当前版本发布安全补丁包，即可能存在安全漏洞</t>
  </si>
  <si>
    <t>升级版本至厂商支持的版本
相关链接：
https://www.openssl.org/news/openssl-old-notes.html</t>
  </si>
  <si>
    <t>Oracle 9iAS _pages Directory Compiled JSP Source Disclosure</t>
  </si>
  <si>
    <t>Oracle 9iAS OracleJSP泄漏JSP文件信息漏洞</t>
  </si>
  <si>
    <t xml:space="preserve">  Oracle 9iAS(Application Server)的web服务使用的是Apache Web Server，它提供了多种应用环境，包括SOAP，PL/SQL，XSQL以及JSP。
  Oracle 9iAS的OracleJSP环境中存在一个安全问题，允许远程攻击者获取翻译后的JSP页面的源代码。另外一个问题允许攻击者获取globals.jsa文件的内容。
当用户向运行OracleJSP的服务器请求一个JSP页面时，该JSP页面会首先被翻译，然后编译、执行，并将执行结果返回给客户端。在此过程中，三个临时文件会被创建。如果请求的JSP页面为"foo.jsp"，那三个临时文件就是：
        _foo$__jsp_StaticText.class
        _foo.class
        _foo.java
  它们会被保存在"/_pages"目录下。如果foo.jsp保存在子目录"bar"下，则上述临时文件会保存在"/_pages/_bar"下。由于翻译后的.java文件中包含JSP源代码，而这些文件又都可以直接通过WEB接口访问，攻击者就可能获取一些敏感信息，例如Oracle数据库的用户名和口令。
   另外，如果JSP应用程序使用globals.jsa文件来保存全局设置，攻击者也可以直接访问该文件并获取其内容，如果其中包含一些敏感信息，也同样可能导致较严重的安全问题。</t>
  </si>
  <si>
    <t>Trend Micro ServerProtect TmRpcSrv.dll RPC Request Multiple Overflows</t>
  </si>
  <si>
    <t>Trend Micro ServerProtect多个远程缓冲区溢出漏洞</t>
  </si>
  <si>
    <t xml:space="preserve">  Trend ServerProtect是一款企业级反病毒程序。
        Trend ServerProtect的RPC通信接口实现上存在多个缓冲区溢出漏洞，远程攻击者可以利用这些漏洞控制系统。
        Trend ServerProtect的StCommon.dll和eng50.dll的某些功能函数在处理从RPC接口传入的超长参数时存在堆栈溢出问题，远程攻击者可以利用这些漏洞通过溢出攻击在系统上执行任意指令。
&lt;*链接：http://www.tippingpoint.com/security/advisories/TSRT-07-01.html      http://www.tippingpoint.com/security/advisories/TSRT-07-02.html</t>
  </si>
  <si>
    <t>目前厂商已经发布了升级补丁以修复这个安全问题，补丁下载链接： http://esupport.trendmicro.com/support/viewxml.do?ContentID=EN-1034290</t>
  </si>
  <si>
    <t>Trend Micro ServerProtect AgRpcCln.dll Buffer Overflow</t>
  </si>
  <si>
    <t>Windows Trend Micro ServerProtect 'AgRpcCln.dll' 缓冲区溢出漏洞</t>
  </si>
  <si>
    <t>Windows Trend Micro ServerProtect安全补丁3 Build 1176之前的5.58版本的AgRpcCln.dll中存在缓冲区溢出漏洞。远程攻击者可以借助与RPC请求相关的未知向量，执行任意代码。</t>
  </si>
  <si>
    <t>应用安全补丁3 - Build 1176及以上版本
相关链接：
http://www.zerodayinitiative.com/advisories/ZDI-07-025.html
http://archives.neohapsis.com/archives/bugtraq/2007-05/0090.html
http://www.nessus.org/u?6b7dccdd</t>
  </si>
  <si>
    <t xml:space="preserve"> Trend Micro ServerProtect Multiple Remote Overflows</t>
  </si>
  <si>
    <t>Windows Trend Micro ServerProtect 多个缓冲区溢出漏洞</t>
  </si>
  <si>
    <t>Windows Trend Micro ServerProtect存在多个缓冲区溢出漏洞，例如RPC调用远程缓冲区溢出漏洞、RPCFN_SYNC_TASK远程整数溢出漏洞、IDevSpot PhpHostBot 'order/login.php'PHP远程文件包含漏洞。</t>
  </si>
  <si>
    <t>Trend Micro已为Windows/NetWare平台ServerProtect发布了相关补丁
相关链接：
http://www.trendmicro.com/download/product.asp?productid=17</t>
  </si>
  <si>
    <t>Trend Micro ServerProtect for Windows (SpntSvc.exe) StRpcSrv.dll Arbitrary Remote Code Execution</t>
  </si>
  <si>
    <t>Trend Micro ServerProtect 守护进程SpntSvc.exe 权限许可和访问控制漏洞</t>
  </si>
  <si>
    <t xml:space="preserve"> Trend Micro ServerProtect守护进程SpntSvc.exe存在未明危险子函数，该子程序来自于DCE/RPC界面的动态库StRpcSrv.dll，远程攻击者可以获得全部文件系统访问权限并执行任意代码。受影响软件为未打Security Patch 4安全补丁的Windows平台下的Trend Micro ServerProtect 5.58</t>
  </si>
  <si>
    <t>厂商已发布Security Patch 5补丁包代替4
相关链接:
http://www.zerodayinitiative.com/advisories/ZDI-07-077.html
http://archives.neohapsis.com/archives/bugtraq/2007-12/0228.html</t>
  </si>
  <si>
    <t>OpenSSL SSL_OP_NETSCAPE_REUSE_CIPHER_CHANGE_BUG Session Resume Ciphersuite Downgrade Issue</t>
  </si>
  <si>
    <t>OpenSSL密码集降级安全漏洞</t>
  </si>
  <si>
    <t>OpenSSL是一种开放源码的SSL实现，用来实现网络通信的高强度加密，现在被广泛地用于各种网络应用程序中。当SSL_OP_NETSCAPE_REUSE_CIPHER_CHANGE_BUG启用时，OpenSSL 0.9.8q之前版本及1.0.0c之前的1.0.x版本不能正确阻止会话缓存中对加密套接字的修改。远程攻击者可借助和嗅探网络通信以发现会话标识符有关的向量强迫意外密码降低保密程度。</t>
  </si>
  <si>
    <t>升级版本至 OpenSSL 0.9.8q / 1.0.0.c或者联系厂商。
相关链接：
http://openssl.org/news/secadv_20101202.txt</t>
  </si>
  <si>
    <t xml:space="preserve"> IBM AIX TCP Large Send Denial of Service Vulnerability</t>
  </si>
  <si>
    <t>IBM AIX TCP Stack 拒绝服务漏洞</t>
  </si>
  <si>
    <t>IBM AIX(Advanced Interactive eXecutive)是IBM开发的一套商业性质UNIX操作系统。 IBM AIX多个版本中存在拒绝服务漏洞。攻击者利用该漏洞导致内核死机，拒绝为合法用户提供服务。这些版本包括：IBM AIX 5.3版本, 6.1版本以及7.1版本中存在该漏洞，其他版本中也可能存在该漏洞。</t>
  </si>
  <si>
    <t>目前厂商已经发布了升级补丁以修复此安全问题，补丁获取链接：    http://aix.software.ibm.com/aix/efixes/security/large_send_advisory.asc</t>
  </si>
  <si>
    <t>IBM Lotus Domino ?ReadDesign Request Design Element Disclosure</t>
  </si>
  <si>
    <t>IBM Lotus Domino请求设计元素泄露</t>
  </si>
  <si>
    <t>远程web服务运行攻击者通过发送特殊伪造的HTTP请求包给Lotus Domino服务，从而浏览设计元素的XML列表，相关链接：http://[target]/names.nsf/view?ReadDesign</t>
  </si>
  <si>
    <t>IBM WebSphere Application Server 6.1 &lt; Fix Pack 21 Multiple Flaws</t>
  </si>
  <si>
    <t>IBM WebSphere应用服务版本低于 Fix Pack 21，存在多个溢出漏洞</t>
  </si>
  <si>
    <t>IBM WebSphere应用服务版本低于 Fix Pack 21，存在多个溢出漏洞，PMI已启用，本地攻击者可通过'Systemout.log' and 'ffdc' 文件获取敏感信息；SSL当前设置属性'Security Level'不能正确执行当前的加密级别</t>
  </si>
  <si>
    <t>如果使用WebSphere应用服务, 应用修复包Fix Pack 21 (6.1.0.21)及以上版本，如果使用嵌入式WebSphere应用服务包，则推荐应用最新的 eWAS fix pack修复包。
相关链接：
http://www-01.ibm.com/support/docview.wss?uid=swg21404665
http://www-01.ibm.com/support/docview.wss?uid=swg27009778
http://www-01.ibm.com/support/docview.wss?&amp;uid=swg1PK63182
http://www-01.ibm.com/support/docview.wss?uid=swg27007951#61021</t>
  </si>
  <si>
    <t>IBM WebSphere Application Server &lt; 6.1.0.23 Multiple Flaws</t>
  </si>
  <si>
    <t>IBM WebSphere应用服务版本低于6.1.0.23，存在多个溢出漏洞</t>
  </si>
  <si>
    <t>IBM WebSphere应用服务版本低于 6.1.0.23，存在多个安全漏洞，例如攻击者可通过无效的证书，劫持认证会话；跨站脚本攻击；通过控制管理权限，控制用户会话等。</t>
  </si>
  <si>
    <t>如果使用WebSphere应用服务, 应用修复包Fix Pack 23 (6.1.0.23)及以上版本，如果使用嵌入式WebSphere应用服务包，则推荐应用最新的 eWAS fix pack修复包。
相关链接：
http://www-01.ibm.com/support/docview.wss?uid=swg21404665
http://www-01.ibm.com/support/docview.wss?uid=swg27009778
http://www-01.ibm.com/support/docview.wss?uid=swg21367223
http://www-01.ibm.com/support/docview.wss?rs=180&amp;uid=swg27007951#61023_x0000__x0000_</t>
  </si>
  <si>
    <t xml:space="preserve"> IBM WebSphere Application Server &lt; 6.1.0.25 Multiple Vulnerabilities</t>
  </si>
  <si>
    <t>IBM WebSphere应用服务版本低于6.1.0.25，存在多个安全漏洞</t>
  </si>
  <si>
    <t>IBM WebSphere应用服务版本低于 6.1.0.25，存在多个安全漏洞，例如IBM WAS 标签"IsSecurityEnabled" 信息泄露漏洞；JAX-WS访问限制和安全跳过漏洞；'IBM Stax XMLStreamWriter'权限许可和访问控制漏洞等。</t>
  </si>
  <si>
    <t>如果使用WebSphere应用服务, 应用修复包Fix Pack 25 (6.1.0.25)及以上版本，如果使用嵌入式WebSphere应用服务包，则推荐应用最新的 eWAS fix pack修复包。
相关链接：
http://www-01.ibm.com/support/docview.wss?uid=swg21404665
http://www-01.ibm.com/support/docview.wss?uid=swg27009778
http://www-01.ibm.com/support/docview.wss?uid=swg27007951#61025</t>
  </si>
  <si>
    <t xml:space="preserve"> IBM WebSphere Application Server &lt; 6.1.0.27 Multiple Vulnerabilities</t>
  </si>
  <si>
    <t>IBM WebSphere应用服务版本低于6.1.0.27，存在多个安全漏洞</t>
  </si>
  <si>
    <t>IBM WebSphere应用服务版本低于 6.1.0.26，存在多个安全漏洞，例如Apache APR-util库apr_strmatch_precompile()函数整数下溢漏洞；Apache APR-util 程序"xml/apr_xml.c" 拒绝服务漏洞；Apache APR-util apr_brigade_vprintf函数单字节溢出漏洞等。</t>
  </si>
  <si>
    <t>如果使用WebSphere应用服务, 应用修复包 Fix Pack 27 (6.1.0.27)及以上版本，如果使用嵌入式WebSphere应用服务包，则推荐应用最新的 eWAS fix pack修复包。
相关链接：
http://www-01.ibm.com/support/docview.wss?uid=swg21404665
http://www-01.ibm.com/support/docview.wss?uid=swg27009778
http://www-01.ibm.com/support/docview.wss?uid=swg1PK91241
http://www-01.ibm.com/support/docview.wss?uid=swg24023947
http://www-01.ibm.com/support/docview.wss?rs=180&amp;uid=swg27007951#61027_x0000__x0000_</t>
  </si>
  <si>
    <t>IBM WebSphere Application Server 6.1 &lt; 6.1.0.31 Multiple Vulnerabilities</t>
  </si>
  <si>
    <t>IBM WebSphere应用服务版本低于6.1.0.31，存在多个安全漏洞</t>
  </si>
  <si>
    <t>IBM WebSphere应用服务版本低于 6.1.0.27，存在多个安全漏洞，例如 (WAS) 管理控制台跨站脚本攻击漏洞； (WAS) 'wsadmin scripting J2CConnectionFactory'对象信息泄露漏洞；(WAS) SSL连接拒绝服务漏洞等。</t>
  </si>
  <si>
    <t>如果使用WebSphere应用服务, 应用修复包Fix Pack 31 (6.1.0.31) 及以上版本，如果使用嵌入式WebSphere应用服务包，则推荐应用最新的 eWAS fix pack修复包。
相关链接：
http://www-01.ibm.com/support/docview.wss?uid=swg21404665
http://www-01.ibm.com/support/docview.wss?uid=swg27009778
http://www-01.ibm.com/support/docview.wss?uid=swg27004980
http://www-01.ibm.com/support/docview.wss?uid=swg1PK88606
http://www-01.ibm.com/support/docview.wss?rs=180&amp;uid=swg27007951#61031</t>
  </si>
  <si>
    <t xml:space="preserve"> IBM WebSphere Application Server 6.1 &lt; 6.1.0.33 Multiple Vulnerabilities</t>
  </si>
  <si>
    <t>IBM WebSphere应用服务版本低于6.1.0.33，存在多个安全漏洞</t>
  </si>
  <si>
    <t>IBM WebSphere应用服务版本低于 6.1.0.33，存在多个安全漏洞，例如管理控制台跨站脚本攻击漏洞；远程认证用户可以借助特制的URL导致拒绝服务(CPU消耗)；IBM WebSphere Application Server和Web Services WebSphere Application Server Feature Pack输入验证漏洞等。</t>
  </si>
  <si>
    <t>如果使用WebSphere应用服务, 应用修复包Fix Pack 33 (6.1.0.33)及以上版本，如果使用嵌入式WebSphere应用服务包，则推荐应用最新的 eWAS fix pack修复包。
相关链接：
http://www-01.ibm.com/support/docview.wss?uid=swg21404665
http://www-01.ibm.com/support/docview.wss?uid=swg27009778
http://www-01.ibm.com/support/docview.wss?uid=swg1PM02636
http://www-01.ibm.com/support/docview.wss?uid=swg21443736
http://www-01.ibm.com/support/docview.wss?uid=swg1PM12065
http://www-01.ibm.com/support/docview.wss?uid=swg27007951#61033_x0000__x0000__x0000__x0000__x0000__x0000__x0000__x0000__x0000_</t>
  </si>
  <si>
    <t xml:space="preserve"> IBM WebSphere Application Server &lt; 6.1.0.29 Multiple Vulnerabilities</t>
  </si>
  <si>
    <t>IBM WebSphere应用服务版本低于6.1.0.29，存在多个安全漏洞</t>
  </si>
  <si>
    <t>IBM WebSphere应用服务版本低于 6.1.0.29，存在多个安全漏洞，例如 跨站请求伪造漏洞；敏感信息泄露漏洞；跨站脚本攻击等。</t>
  </si>
  <si>
    <t>如果使用WebSphere应用服务, 应用修复包Fix Pack 29(6.1.0.29)及以上版本，如果使用嵌入式WebSphere应用服务包，则推荐应用最新的 eWAS fix pack修复包。
相关链接：
http://www-01.ibm.com/support/docview.wss?uid=swg21404665
http://www-01.ibm.com/support/docview.wss?uid=swg27009778
http://www-01.ibm.com/support/docview.wss?uid=swg27007951#61029_x0000__x0000__x0000__x0000__x0000__x0000__x0000__x0000__x0000__x0000__x0000__x0000__x0000__x0000__x0000__x0000__x0000__x0000__x0000__x0000__x0000__x0000__x0000__x0000__x0000__x0000__x0000__x0000__x0000__x0000__x0000__x0000__x0000__x0000__x0000__x0000_</t>
  </si>
  <si>
    <t>NTP monlist Command Enabled</t>
  </si>
  <si>
    <t>NTP monlist功能输入验证漏洞</t>
  </si>
  <si>
    <t>ntpd（Network Time Protocol daemon）是一个操作系统守护进程，它使用网络时间协议（NTP）与时间服务器的系统时间保持同步， NTP 4.2.7p26之前的版本中的ntpd守护进程中的ntp_request.c文件中的monlist功能中存在输入验证漏洞。远程攻击者可通过伪造REQ_MON_GETLIST或REQ_MON_GETLIST_1请求利用该漏洞造成拒绝服务。</t>
  </si>
  <si>
    <t>目前厂商已经发布了升级补丁以修复此安全问题，补丁获取链接： 
http://bugs.ntp.org/show_bug.cgi?id=1532</t>
  </si>
  <si>
    <t>default Password (root) for 'root' Account</t>
  </si>
  <si>
    <t>root账户默认密码“root”</t>
  </si>
  <si>
    <t>远程主机root账户使用默认密码root,攻击者利用此漏洞可获得远程主机系统的所有权限。</t>
  </si>
  <si>
    <t>OpenSSH X11 Forwarding Session Hijacking</t>
  </si>
  <si>
    <t>OpenSSH X11发送会话劫持漏洞</t>
  </si>
  <si>
    <t>OpenSSH是一种开放源码的SSH协议的实现，初始版本用于OpenBSD平台，现在已经被移植到多种Unix/Linux类操作系统下，在通过启用了X11转发的SSH登录时，sshd(8)没有正确地处理无法绑定到IPv4端口但成功绑定到IPv6端口的情况。在这种情况下，使用X11的设备即使没有被sshd(8)绑定也会连接到IPv4端口，因此无法安全的进行转发，恶意用户可以在未使用的IPv4端口(如tcp 6010端口)上监听X11连接。当不知情的用户登录并创建X11转发时，恶意用户可以捕获所有通过端口发送的X11数据，这可能泄露敏感信息或允许以使用X11转发用户的权限执行命令。</t>
  </si>
  <si>
    <t xml:space="preserve">升级OpenSSH版本至5.0及以上版本。
相关链接：
http://bugs.debian.org/cgi-bin/bugreport.cgi?bug=463011
http://www.openssh.org/txt/release-5.0 </t>
  </si>
  <si>
    <t>OpenSSH &lt; 5.2 CBC Plaintext Disclosure</t>
  </si>
  <si>
    <t>OpenSSH版本低于5.2，CBC模式信息泄露漏洞</t>
  </si>
  <si>
    <t>OpenSSH是一种开放源码的SSH协议的实现，初始版本用于OpenBSD平台，现在已经被移植到多种Unix/Linux类操作系统下。 
如果配置为CBC模式的话，OpenSSH没有正确地处理分组密码算法加密的SSH会话中所出现的错误，导致可能泄露密文中任意块最多32位纯文本。在以标准配置使用OpenSSH时，攻击者恢复32位纯文本的成功概率为2^{-18}，此外另一种攻击变种恢复14位纯文本的成功概率为2^{-14}。</t>
  </si>
  <si>
    <t>升级OpenSSH版本至5.2及以上版本。
相关链接：
http://www.nessus.org/u?4984aeb9
http://www.openssh.com/txt/cbc.adv
http://www.openssh.com/txt/release-5.2</t>
  </si>
  <si>
    <t>OpenSSH &lt; 4.7 Trusted X11 Cookie Connection Policy Bypass</t>
  </si>
  <si>
    <t>OpenSSH版本低于4.7， X11 Cookie本地绕过认证漏洞</t>
  </si>
  <si>
    <t xml:space="preserve">OpenSSH是一种开放源码的SSH协议的实现，初始版本用于OpenBSD平台，现在已经被移植到多种Unix/Linux类操作系统下。 
OpenSSH X11在处理Cookie时存在漏洞，本地攻击者可能利用此漏洞提升自己的权限。如果无法生成不可信任的Cookie的话，OpenSSH中的ssh就会使用可信任的X11 Cookie，这可能将X客户端处理为可信任，允许本地攻击者破坏预期的策略获得权限提升。 </t>
  </si>
  <si>
    <t>升级OpenSSH版本至4.7及以上版本。
相关链接：
http://www.openssh.com/txt/release-4.7</t>
  </si>
  <si>
    <t>OpenSSH &lt; 4.9 'ForceCommand' Directive Bypass</t>
  </si>
  <si>
    <t>OpenSSH版本低于4.9，存在绕过ForceCommand指令漏洞</t>
  </si>
  <si>
    <t xml:space="preserve">OpenSSH是一种开放源码的SSH协议的实现，初始版本用于OpenBSD平台，现在已经被移植到多种Unix/Linux类操作系统下。 
OpenSSH没有正确地实现ForceCommand指令，如果本地攻击者修改了~/.ssh/rc会话文件的话，则即使ForceCommand指令仍有效，攻击者仍可以执行任意代码。 </t>
  </si>
  <si>
    <t>Oracle Net Services CREATE DATABASE LINK Query Overflow</t>
  </si>
  <si>
    <t>Oracle网络服务 CREATE DATABASE LINK查询溢出漏洞</t>
  </si>
  <si>
    <t>Oracle是一款企业级数据库服务程序，Oracle的数据库连接功能对参数缺少正确的边界缓冲区检查，远程攻击者可以利用这个漏洞进行典型缓冲区溢出攻击，可能以Oralce进程权限在系统上执行任意指令，Oracle提供数据库连接功能，允许从其他数据库服务器查询当前数据库。提供超长的参数给'CREATE DATABASE LINK'查询的连接字符串(默认情况下，'CREATE DATABASE LINK'权限只分配给连接用途，多数情况下大多数帐户拥有此权限，权限可比SCOTT和ADAMS还低。)：
        CREATE DATABASE LINK ngss
        CONNECT TO hr
        IDENTIFIED BY hr
        USING 'longstring'
   通过建立特殊的数据库连接然后执行如下命令：
        select * from table@ngss
   就可以触发缓冲区溢出，覆盖堆栈返回地址。精心构建提交数据可以导致以Oralce进程权限在系统上执行任意指令。
   不过厂商认为，除非Oracle数据库直接连接到Internet，否则远程攻击不太可能。</t>
  </si>
  <si>
    <t>使用厂家提供的补丁包进行修复。
相关链接：
http://www.nessus.org/u?6719c919</t>
  </si>
  <si>
    <t>Oracle Database 9i Multiple Functions Local Overflow</t>
  </si>
  <si>
    <t>Oracle数据库9i多个函数本地溢出漏洞</t>
  </si>
  <si>
    <t xml:space="preserve"> Oracle在处理部分参数和函数时缺少充分缓冲区边界检查，远程攻击者可以利用这个漏洞进行缓冲区溢出攻击，可能以数据库进程权限执行任意指令。</t>
  </si>
  <si>
    <t xml:space="preserve"> 厂商补丁：
  Oracle 9i Database Release 2, version 9.2.0.3已经修正此漏洞，要更多Oracle安全补丁信息，请访问Oracle Metalink site： 
   http://metalink.oracle.com</t>
  </si>
  <si>
    <t>Oracle Multiple Products SOAP Message Crafted DTD Remote DoS</t>
  </si>
  <si>
    <t>Oracle 9i应用/数据库服务器SOAP XML DTD拒绝服务攻击漏洞</t>
  </si>
  <si>
    <t>Oracle Database是一款商业性质大型数据库系统，Oracle 9i应用服务器基于Apache Web服务器，支持SOAP、PL/SQL、XSQL、JSP等环境。Oracle 9i应用/数据库服务器在处理部分SOAP消息时存在问题，远程攻击者可以利用这个漏洞对服务器进行拒绝服务攻击。攻击者可以构建XML中包含特殊的数据类型定义(DTDs)SOAP消息，Oracle 9i应用/数据库服务器处理时会产生错误，导致拒绝服务。目前没有详细漏洞细节提供。</t>
  </si>
  <si>
    <t>厂商补丁：
Oracle已经为此发布了一个安全公告(OracleSA#65)以及相应补丁: 
 OracleSA#65：Security Vulnerability in Oracle9i Application and Database Servers 
链接：    http://otn.oracle.com/deploy/security/pdf/2004alert65.pdf 
补丁下载： 
http://metalink.oracle.com/metalink/plsql/ml2_documents.showDocument?p_database_id=NOT&amp;p_id=259556.1</t>
  </si>
  <si>
    <t>Oracle Database Multiple Remote Vulnerabilities</t>
  </si>
  <si>
    <t>Oracle 数据库多个远程安全漏洞</t>
  </si>
  <si>
    <t>根据远程主机的Oracle数据库版本，可能存在远程指令执行漏洞，允许攻击者执行SQL语句，这些语句可能有可执行指令权限。</t>
  </si>
  <si>
    <t>根据厂商提供的补丁包进行修复。
相关链接：
http://www.nessus.org/u?e1d0c17a</t>
  </si>
  <si>
    <t>Oracle 8i/9i Database Server UTL_FILE Traversal Arbitrary File Manipulation</t>
  </si>
  <si>
    <t>Oracle 8i/9i数据库服务 UTL_FILE遍历任意文件处理漏洞</t>
  </si>
  <si>
    <t>根据远程主机的Oracle数据库版本，可能存在多个任意目录文件遍历漏洞，这使得攻击者可能利用此漏洞读写或重命名任意文件，一个已认证用户可通过伪造SQL查询语句在同一驱动受影响的应用服务上检索系统上的任何文件和修改文件。</t>
  </si>
  <si>
    <t>应用2005年1月份补丁紧急漏洞补丁更新包。
相关链接：
http://www.argeniss.com/research/ARGENISS-ADV-030501.txt
http://www.nessus.org/u?68b438fb
http://www.nessus.org/u?f926c604</t>
  </si>
  <si>
    <t>IBM WebSphere Application Server 7.0 &lt; Fix Pack 27 Multiple Vulnerabilities</t>
  </si>
  <si>
    <t>IBM WebSphere应用服务版本7.0低于 Fix Pack 27，存在多个安全漏洞</t>
  </si>
  <si>
    <t>IBM WebSphere应用服务版本低于7.0，存在多个安全漏洞，例如跨站脚本攻击等。</t>
  </si>
  <si>
    <t>如果使用WebSphere应用服务, 应用修复包 Fix Pack 27 (7.0.0.27)及以上版本，如果使用嵌入式WebSphere应用服务包，则联系厂商，因为厂商尚未发布相关修复补丁包。
相关链接：
http://www.nessus.org/u?c8df3590
http://www.nessus.org/u?85335f50
http://www.nessus.org/u?6249ee05
http://www.nessus.org/u?5ae80ba2_x0000__x0000__x0000__x0000__x0000__x0000__x0000__x0000__x0000__x0000__x0000__x0000__x0000__x0000__x0000__x0000__x0000__x0000__x0000__x0000__x0000__x0000__x0000__x0000__x0000__x0000__x0000__x0000__x0000_</t>
  </si>
  <si>
    <t>IBM WebSphere Application Server 7.0 &lt; Fix Pack 29 Multiple Vulnerabilities</t>
  </si>
  <si>
    <t>IBM WebSphere应用服务版本7.0低于 Fix Pack 29，存在多个安全漏洞</t>
  </si>
  <si>
    <t>IBM WebSphere应用服务版本低于 Fix Pack 29，存在多个安全漏洞，例如多个TLS/DTLS实现加密问题漏洞；BM WebSphere Application Server Message Signature 欺骗漏洞；跨站脚本攻击等。</t>
  </si>
  <si>
    <t>如果使用WebSphere应用服务, 应用修复包 Fix Pack 29 (7.0.0.29)及以上版本，如果使用嵌入式WebSphere应用服务包，则推荐应用最新的 eWAS fix pack修复包。
相关链接：
http://www.nessus.org/u?0379569f
https://www-304.ibm.com/support/docview.wss?uid=swg21640799_x0000__x0000__x0000__x0000__x0000__x0000__x0000__x0000__x0000__x0000__x0000__x0000__x0000__x0000__x0000__x0000__x0000__x0000__x0000__x0000__x0000__x0000__x0000__x0000__x0000__x0000__x0000__x0000__x0000__x0000__x0000__x0000__x0000__x0000_</t>
  </si>
  <si>
    <t xml:space="preserve"> IBM WebSphere Application Server 7.0 &lt; Fix Pack 31 Multiple Vulnerabilities</t>
  </si>
  <si>
    <t>IBM WebSphere应用服务版本7.0低于 Fix Pack 31，存在多个安全漏洞</t>
  </si>
  <si>
    <t>IBM WebSphere应用服务版本低于 Fix Pack 31，存在多个安全漏洞，例如IBM WebSphere Application Server Administrative控制台跨站脚本漏洞；Apache HTTP Server mod_dav.c 拒绝服务漏洞；Apache Commons Compress和Apache Ant 拒绝服务漏洞等。</t>
  </si>
  <si>
    <t>如果使用WebSphere应用服务, 应用修复包Fix Pack 31 (7.0.0.31)及以上版本，如果使用嵌入式WebSphere应用服务包，则推荐应用最新的 eWAS fix pack修复包。
相关链接：
http://www.nessus.org/u?d2f64a49
https://www-304.ibm.com/support/docview.wss?uid=swg21661323
https://www-304.ibm.com/support/docview.wss?uid=swg21655990_x0000__x0000__x0000__x0000__x0000__x0000__x0000__x0000__x0000__x0000__x0000__x0000__x0000__x0000_</t>
  </si>
  <si>
    <t xml:space="preserve"> IBM WebSphere Application Server 7.0 &lt; Fix Pack 33 Multiple Vulnerabilities</t>
  </si>
  <si>
    <t>IBM WebSphere应用服务版本7.0低于 Fix Pack 33，存在多个安全漏洞</t>
  </si>
  <si>
    <t>IBM WebSphere应用服务版本低于 Fix Pack 33，存在多个安全漏洞，例如IBM WebSphere Application Server和WebSphere Virtual Enterprise 跨站脚本漏洞；IBM Global Security Kit 拒绝服务漏洞；IBM SmartCloud Analytics Log Analysis 跨站脚本漏洞等。</t>
  </si>
  <si>
    <t>如果使用WebSphere应用服务, 应用修复包Fix Pack 33(7.0.0.33)及以上版本，如果使用嵌入式WebSphere应用服务包，则推荐应用最新的 eWAS fix pack修复包。
相关链接：
https://www-304.ibm.com/support/docview.wss?uid=swg21676091
https://www-304.ibm.com/support/docview.wss?uid=swg21659548
https://www-304.ibm.com/support/docview.wss?uid=swg21663941
https://www-304.ibm.com/support/docview.wss?uid=swg21667254
https://www-304.ibm.com/support/docview.wss?uid=swg21667526
https://www-304.ibm.com/support/docview.wss?uid=swg21672843
https://www-304.ibm.com/support/docview.wss?uid=swg21672316
https://www-304.ibm.com/support/docview.wss?uid=swg21673013_x0000__x0000__x0000__x0000__x0000__x0000__x0000__x0000__x0000__x0000__x0000__x0000_</t>
  </si>
  <si>
    <t xml:space="preserve"> MS09-050: Microsoft Windows SMB2 _Smb2ValidateProviderCallback() Vulnerability (975497) (uncredentialed check)</t>
  </si>
  <si>
    <t>Microsoft Windows Vista和Windows 7畸形SMB报文远程拒绝服务漏洞</t>
  </si>
  <si>
    <t>Windows是微软发布的非常流行的操作系统。Windows Vista捆绑了新版的SMB2，SRV2.SYS驱动没有正确地处理发送给NEGOTIATE PROTOCOL REQUEST功能的畸形SMB头，如果远程攻击者在发送的SMB报文的Process Id High头字段中包含有"&amp;"字符的话，就会在_Smb2ValidateProviderCallback()函数中触发越界内存引用，导致执行任意代码或系统蓝屏死机。</t>
  </si>
  <si>
    <t>目前厂商已经发布了升级补丁以修复此安全问题，补丁获取链接：
http://technet.microsoft.com/en-us/security/bulletin/MS09-050</t>
  </si>
  <si>
    <t>GNU Bash Environment Variable Handling Code Injection (Shellshock)</t>
  </si>
  <si>
    <t>GNU Bash环境变量处理代码注入</t>
  </si>
  <si>
    <t>远程主机存在远程代码执行漏洞，因为Bash shell的一个错误，远程未认证攻击者可执行任意代码在远程主机上，通过伪造的请求给CGI脚本。</t>
  </si>
  <si>
    <t>Oracle 9iAS iSQLplus XSS</t>
  </si>
  <si>
    <t>Oracle 9iAS iSQLplus XSS漏洞</t>
  </si>
  <si>
    <t>通过用户名和密码参数，Oracle9i iSQLplus登录页面允许注入HTML和JavaScript代码，远程主机正在运行的 Oracle9i 'isqlplus' CGI 版本存在跨站脚本攻击漏洞，攻击者可以利用这个漏洞窃取合法用户cookie。</t>
  </si>
  <si>
    <t>IBM WebSphere snoopservlet Path Disclosure</t>
  </si>
  <si>
    <t>IBM WebSphere snoopservlet路径信息泄露</t>
  </si>
  <si>
    <t>这些脚本尝试通过请求 'snoopservlet'，列举servlet类的实际物理路径，攻击者通过获取的文件系统实际物理信息，开展更多更复杂的攻击。</t>
  </si>
  <si>
    <t>如果不是必需的,卸载默认应用程序。</t>
  </si>
  <si>
    <t>SSL Null Cipher Suites Supported</t>
  </si>
  <si>
    <t>SSL空密码支持漏洞</t>
  </si>
  <si>
    <t>远程主机服务支持SSL空密码及明文传输，如果攻击者在同一网络环境，更容易利用此漏洞。</t>
  </si>
  <si>
    <t>重设置受影响的应用程序，如果可以，尽量避免使用空密码。
相关链接：
http://www.openssl.org/docs/apps/ciphers.html</t>
  </si>
  <si>
    <t>Chargen UDP Service Remote DoS</t>
  </si>
  <si>
    <t>Chargen UDP服务远程拒绝服务攻击漏洞</t>
  </si>
  <si>
    <t>远程主机运行“Chargen”服务，当连接时，chargen响应会伴随一些随机的字符，当UDP连接时，会返回UDP数据包，当TCP连接时，会持续发送字符，直到客户端关闭连接。
这项服务的目的是主要测试本身的TCP / IP协议,以确保所有的数据包到达目的地没有改变。未使用此项服务时,建议你禁用它,因为攻击者可能用它来建立一个攻击，或者利用这台主机作为中继，攻击第三方主机。
一个简单的攻击就像是“乒乓球”,攻击者恶搞运行chargen服务的两台机器之间的数据包。这将导致它们互相持续发送字符,导致两台主机拒绝服务，堵塞网络通道。</t>
  </si>
  <si>
    <t xml:space="preserve">  在Unix系统中,进入/etc/inetd.conf并注释掉chargen那行，重启inetd进程。
  在Windows系统下,将下面的注册表键值设置为0:
HKLM\System\CurrentControlSet\Services\SimpTCP\Parameters\EnableTcpChargen HKLM\System\CurrentControlSet\Services\SimpTCP\Parameters\EnableUdpChargen
  然后启动cmd.exe和类型:
net stop simptcp 
net start simptcp
  重启服务。
相关链接：
http://www.nessus.org/u?f0dbdf05</t>
  </si>
  <si>
    <t>MS02-045: Microsoft Windows SMB Protocol SMB_COM_TRANSACTION Packet Remote Overflow DoS  (326830) (uncredentialed check)</t>
  </si>
  <si>
    <t>Microsoft网络共享器SMB请求远程缓冲区溢出漏洞(MS02-045)</t>
  </si>
  <si>
    <t xml:space="preserve">   Microsoft Windows操作系统使用Server Message Block (SMB)协议提供开放交叉平台机制，通过网络对文件和打印共享服务的支持，也称为CIFS (Common Internet File System)，目前CIFS在Windows下的实现是运行在TCP/139和TCP/445端口上，并依赖运行在TCP/IP之上的NETBIOS协议是否启用。Microsoft操作系统对畸形的SMB请求处理存在问题，远程攻击者可以利用这个漏洞进行拒绝服务攻击，可能以系统权限执行任意代码。
   SMB_COM_TRANSACTION命令允许客户端和服务器端在特定服务器上的特定资源定义特殊的功能，此功能支持不由协议自身定义，而由客户端和服务器端实现。
    通过发送特殊构建的包请求NetServerEnum2， NetServerEnum3或者NetShareEnum transaction(事务处理)，攻击者可以对目标机器进行拒绝服务攻击，可能以系统权限执行任意代码，但没有得到证实。攻击者只需在上述transaction的参数域中将'Max Param Count'或'Max Data Count'字段设置为零即可进行攻击。
    利用NetShareEnum transaction(事务处理)来触发这个漏洞，攻击者需要拥有一个合法的帐户，而利用NetServerEnum2和NetServerEnum3 transaction(事务处理)进行触发，则攻击者无需密码匿名即可进行访问。
    Windows操作系统默认情况下允许匿名用户进行访问，因此任意用户可以对默认配置的Windows操作系统进行拒绝服务攻击。
    成功利用这个漏洞攻击后，操作系统会出现系统崩溃(蓝屏)，并出现如下类似信息：
    *** STOP: 0x0000001E (0xC0000005， 0x804B818B， 0x00000001， 0x00760065)
    KMODE_EXCEPTION_NOT_HANDLED
    *** Address 804B818B base at 80400000， DateStamp 384d9b17 0 ntoskrnl.exe
     物理内存被dump，系统重新启动。</t>
  </si>
  <si>
    <t xml:space="preserve">临时解决方法：
   如果您不能立刻安装补丁或者升级，建议您采取以下措施以降低威胁： 
   可以限制匿名用户对Windows 2000P系统的LSA组件的访问，这可以避免匿名用户进行攻击，但无法防止合法用户的攻击。 
   对于Windows NT和XP，无法通过修改注册表禁止匿名用户访问，您只能暂时关闭共享服务。 
   如果您并不需要提供网络共享服务，可以完全关闭共享
厂商补丁：
Microsoft已经为此发布了一个安全公告(MS02-045)以及相应补丁: 
MS02-045：Unchecked Buffer in Network Share Provider Can Lead to Denial of Service(Q326830) 
链接：http://www.microsoft.com/technet/security/bulletin/MS02-045.asp </t>
  </si>
  <si>
    <t>Citrix Published Applications Remote Enumeration</t>
  </si>
  <si>
    <t>Citrix应用程序远程枚举漏洞</t>
  </si>
  <si>
    <t>Citrix服务受到一个信息泄露漏洞影响，这可能使得攻击者枚举应用程序。</t>
  </si>
  <si>
    <t>参考提供的建议来保护受影响的应用程序，相关链接：
http://packetstormsecurity.org/files/29932/hackingcitrix.txt.html
http://archives.neohapsis.com/archives/bugtraq/2002-09/0330.html</t>
  </si>
  <si>
    <t>ASN.1 Multiple Integer Overflows (SMTP check)</t>
  </si>
  <si>
    <t>ASN.1多个整数溢出漏洞（SMTP检测）</t>
  </si>
  <si>
    <t>远程windows主机的ASN.1库，存在多个整数溢出漏洞，这些问题可能会导致出现基于堆的缓冲区溢出。远程攻击者可以利用这些问题来执行任意代码，通过发送一个畸形SMTP授权包，检测远程主机是否修复。</t>
  </si>
  <si>
    <t>Microsoft已为Windows NT, 2000, XP, and 2003发布一系列补丁包。
相关链接：
http://technet.microsoft.com/en-us/security/bulletin/ms04-007</t>
  </si>
  <si>
    <t>MS04-035: WINS Code Execution (870763) (uncredentialed check)</t>
  </si>
  <si>
    <t>WINS代码执行漏洞</t>
  </si>
  <si>
    <t xml:space="preserve">    Microsoft Windows WINS是Microsoft NetBIOS名字服务，用于解析NetBIOS计算机名到IP地址。Microsoft Windows WINS在处理关联的内容验证时存在问题，远程攻击者可以利用这个漏洞以系统进程权限执行任意指令。由于对名字验证处理时缺少充分验证，攻击者可以构建恶意网络包触发缓冲区溢出，精心构建提交数据可能以系统进程权限执行任意指令。在Windows Server 2003中，目前看起来只能进行拒绝服务攻击。
 WinNT4.0、Win2000及Win2003中的WINS服务(wins.exe)存在代码执行漏洞。
    远程攻击者可利用WINS复制功能，通过构造特殊的WINS复制包发送至TCP 24端口，就可修改任意内存地址，从而可能导致执行任意代码。</t>
  </si>
  <si>
    <t>Microsoft已为Windows NT, 2000, XP, and 2003发布一系列补丁包。
相关链接：
http://technet.microsoft.com/en-us/security/bulletin/ms04-045</t>
  </si>
  <si>
    <t xml:space="preserve"> MS10-025: Vulnerability in Microsoft Windows Media Services Could Allow Remote Code Execution (980858) (uncredentialed check)</t>
  </si>
  <si>
    <t>Microsoft Windows媒体服务运行远程代码执行漏洞</t>
  </si>
  <si>
    <t>Microsoft Windows是微软发布的非常流行的操作系统。Windows媒体单播服务(nsum.exe)处理MMS TRANSPORT_INFO报文的方式存在栈溢出漏洞。远程攻击者可以通过向运行可选Windows Media Services组件(非默认安装)的Windows 2000 Server SP4系统发送畸形报文触发这个溢出，导致执行任意代码。</t>
  </si>
  <si>
    <t>Microsoft已为Windows NT, 2000, XP, and 2003发布一系列补丁包。
相关链接：
http://technet.microsoft.com/en-us/security/bulletin/MS10-025</t>
  </si>
  <si>
    <t>OpenSSL &lt; 0.9.8p / 1.0.0b Buffer Overflow</t>
  </si>
  <si>
    <t>OpenSSL版本低于0.9.8p / 1.0.0b，存在缓冲区溢出漏洞</t>
  </si>
  <si>
    <t>OpenSSL是一种开放源码的SSL实现，用来实现网络通信的高强度加密，现被广泛地用于各种网络应用程序中。当TLS服务器中的多线程和内部缓存被启用时，OpenSSL 0.9.8f至0.9.8o版本，1.0.0版本，以及1.0.0a版本中的ssl/t1_lib.c文件中存在多个竞争条件漏洞。远程攻击者可以借助能够触发堆缓冲区溢出的客户端数据执行任意代码。该漏洞与(1)TLS服务器名称扩展以及(2)椭圆曲线密码系统有关。</t>
  </si>
  <si>
    <t>升级 OpenSSL版本至0.9.8p / 1.0.0b及以上版本。
相关链接：
http://openssl.org/news/secadv_20101116.txt</t>
  </si>
  <si>
    <t xml:space="preserve"> OpenSSL &lt; 0.9.8p / 1.0.0e Double Free Vulnerability</t>
  </si>
  <si>
    <t>OpenSSL版本低于0.9.8p / 1.0.0e，存在双重释放漏洞</t>
  </si>
  <si>
    <t>OpenSSL是一种开放源码的SSL实现，用来实现网络通信的高强度加密，现在被广泛地用于各种网络应用程序中。OpenSSL 1.0.0a，0.9.8，0.9.7版本和其他可能版本中的OpenSSL客户端(ssl/s3_clnt.c)中的ssl3_get_key_exchange函数存在双重释放漏洞，当ECDH启用时，附近攻击者可以借助特制的无效质数私钥导致拒绝服务（崩溃）。</t>
  </si>
  <si>
    <t>升级 OpenSSL版本至0.9.8p / 1.0.0e及以上版本。
相关链接：
http://www.mail-archive.com/openssl-dev@openssl.org/msg28049.html</t>
  </si>
  <si>
    <t>OpenSSL 0.9.8 &lt; 0.9.8za Multiple Vulnerabilities</t>
  </si>
  <si>
    <t>OpenSSL版本低于0.9.8za，存在多种安全漏洞</t>
  </si>
  <si>
    <t>主机OpenSSL版本低于0.9.8za,这使得主机存在多个安全漏洞。</t>
  </si>
  <si>
    <t>升级OpenSSL版本至0.9.8za及以上版本。
相关链接：
http://www.openssl.org/news/vulnerabilities.html#2014-0076
http://www.openssl.org/news/vulnerabilities.html#CVE-2014-0221
http://www.openssl.org/news/vulnerabilities.html#CVE-2014-0224
http://www.openssl.org/news/vulnerabilities.html#CVE-2014-3470
http://www.openssl.org/news/secadv_20140605.txt
http://ccsinjection.lepidum.co.jp/
https://www.imperialviolet.org/2014/06/05/earlyccs.html</t>
  </si>
  <si>
    <t>OpenSSL 0.9.8 &lt; 0.9.8zb Multiple Vulnerabilities</t>
  </si>
  <si>
    <t>OpenSSL版本低于0.9.8zb，存在多种安全漏洞</t>
  </si>
  <si>
    <t>主机OpenSSL版本低于0.9.8zb,这使得主机存在多个安全漏洞。</t>
  </si>
  <si>
    <t>升级OpenSSL版本至0.9.8zB及以上版本。
相关链接：
https://www.openssl.org/news/openssl-0.9.8-notes.html
https://www.openssl.org/news/secadv_20140806.txt
https://www.openssl.org/news/vulnerabilities.html</t>
  </si>
  <si>
    <t>OpenSSL 0.9.8 &lt; 0.9.8zc Multiple Vulnerabilities (POODLE)</t>
  </si>
  <si>
    <t>OpenSSL版本低于0.9.8zc，存在多种安全漏洞</t>
  </si>
  <si>
    <t>主机OpenSSL版本低于0.9.8zc,这使得主机存在多个安全漏洞。</t>
  </si>
  <si>
    <t>升级OpenSSL版本至0.9.8zc及以上版本。
相关链接：
https://www.openssl.org/news/openssl-0.9.8-notes.html
https://www.openssl.org/news/secadv_20141015.txt
https://www.openssl.org/news/vulnerabilities.html
https://www.imperialviolet.org/2014/10/14/poodle.html
https://www.openssl.org/~bodo/ssl-poodle.pdf
https://tools.ietf.org/html/draft-ietf-tls-downgrade-scsv-00</t>
  </si>
  <si>
    <t>PHP版本低于5.4.36</t>
  </si>
  <si>
    <t>升级PHP版本至5.4.36及以上版本。</t>
  </si>
  <si>
    <t>PHP版本低于5.4.37</t>
  </si>
  <si>
    <t>升级PHP版本至5.4.37及以上版本。</t>
  </si>
  <si>
    <t>PHP版本低于5.4.38</t>
  </si>
  <si>
    <t>升级PHP版本至5.4.38及以上版本。</t>
  </si>
  <si>
    <t>188.2.56.11</t>
  </si>
  <si>
    <t>188.2.56.12</t>
  </si>
  <si>
    <t>Plugin ID</t>
    <phoneticPr fontId="3" type="noConversion"/>
  </si>
  <si>
    <t>IP</t>
    <phoneticPr fontId="3" type="noConversion"/>
  </si>
  <si>
    <t>HP System Management Homepage &lt; 7.1.1 Multiple Vulnerabilities</t>
  </si>
  <si>
    <t>HP System Management Homepage &lt; 7.3 Multiple Vulnerabilities</t>
  </si>
  <si>
    <t>HP System Management Homepage &lt; 7.4 Multiple Vulnerabilities</t>
  </si>
  <si>
    <t>VMware Security Updates for vCenter Server (VMSA-2014-0012)</t>
  </si>
  <si>
    <t>IBM Lotus Domino iCalendar Email Address ORGANIZER:mailto Header Remote Overflow</t>
  </si>
  <si>
    <t xml:space="preserve">应用2011年1月份的补丁包（cpu），相关链接：
http://www.nessus.org/u?0fd6b4f6
</t>
  </si>
  <si>
    <t>PHP版本低于5.5.8</t>
  </si>
  <si>
    <t>PHP 5.5.x &lt; 5.5.9 GD Extension Multiple Vulnerabilities</t>
  </si>
  <si>
    <t>PHP版本低于5.5.9</t>
  </si>
  <si>
    <t>升级PHP版本至5.5.9及以上版本。</t>
  </si>
  <si>
    <t>PHP 5.5.x &lt; 5.5.10 Multiple Vulnerabilities</t>
  </si>
  <si>
    <t>PHP版本低于5.5.10</t>
  </si>
  <si>
    <t>升级PHP版本至5.5.10及以上版本。</t>
  </si>
  <si>
    <t>PHP 5.5.x &lt; 5.5.11 awk Magic Parsing BEGIN DoS</t>
  </si>
  <si>
    <t>升级PHP版本至5.5.11及以上版本。</t>
  </si>
  <si>
    <t>PHP 5.5.x &lt; 5.5.12 FPM Unix Socket Insecure Permission Escalation</t>
  </si>
  <si>
    <t>PHP版本低于5.5.12</t>
  </si>
  <si>
    <t>升级PHP版本至5.5.12及以上版本。</t>
  </si>
  <si>
    <t>PHP 5.5.x &lt; 5.5.13 'src/cdf.c' Multiple Vulnerabilities</t>
  </si>
  <si>
    <t>PHP版本低于5.5.13</t>
  </si>
  <si>
    <t>升级PHP版本至5.5.13及以上版本。</t>
  </si>
  <si>
    <t>PHP 5.5.x &lt; 5.5.14 Multiple Vulnerabilities</t>
  </si>
  <si>
    <t>PHP版本低于5.5.14</t>
  </si>
  <si>
    <t>升级PHP版本至5.5.14及以上版本。</t>
  </si>
  <si>
    <t>PHP 5.5.x &lt; 5.5.15 Multiple Vulnerabilities</t>
  </si>
  <si>
    <t>PHP版本低于5.5.15</t>
  </si>
  <si>
    <t>升级PHP版本至5.5.15及以上版本。</t>
  </si>
  <si>
    <t>PHP版本低于5.5.16</t>
  </si>
  <si>
    <t>升级PHP版本至5.5.16及以上版本。</t>
  </si>
  <si>
    <t>PHP 5.5.x &lt; 5.5.18 Multiple Vulnerabilities</t>
  </si>
  <si>
    <t>PHP版本低于5.5.18</t>
  </si>
  <si>
    <t>升级PHP版本至5.5.18及以上版本。</t>
  </si>
  <si>
    <t>PHP 5.5.x &lt; 5.5.19 'donote' DoS</t>
  </si>
  <si>
    <t>PHP版本低于5.5.19</t>
  </si>
  <si>
    <t>升级PHP版本至5.5.19及以上版本。</t>
  </si>
  <si>
    <t>PHP 5.5.x &lt; 5.5.20 'process_nested_data' RCE</t>
  </si>
  <si>
    <t>PHP版本低于5.5.20</t>
  </si>
  <si>
    <t>升级PHP版本至5.5.20及以上版本。</t>
  </si>
  <si>
    <t>PHP 5.5.x &lt; 5.5.21 Multiple Vulnerabilities</t>
  </si>
  <si>
    <t>PHP版本低于5.5.21</t>
  </si>
  <si>
    <t>升级PHP版本至5.5.21及以上版本。</t>
  </si>
  <si>
    <t>PHP 5.5.x &lt; 5.5.22 Multiple Vulnerabilities (GHOST)</t>
  </si>
  <si>
    <t>PHP版本低于5.5.22</t>
  </si>
  <si>
    <t>升级PHP版本至5.5.22及以上版本。</t>
  </si>
  <si>
    <t>PHP 5.5.x &lt; 5.5.23 Multiple Vulnerabilities</t>
  </si>
  <si>
    <t>PHP版本低于5.5.23</t>
  </si>
  <si>
    <t>升级PHP版本至5.5.23及以上版本。</t>
  </si>
  <si>
    <t>PHP 5.5.x &lt; 5.5.24 Multiple Vulnerabilities</t>
  </si>
  <si>
    <t>PHP版本低于5.5.24</t>
  </si>
  <si>
    <t>升级PHP版本至5.5.24及以上版本。</t>
  </si>
  <si>
    <t>PHP 5.5.x &lt; 5.5.25 Multiple Vulnerabilities</t>
  </si>
  <si>
    <t>PHP版本低于5.5.25</t>
  </si>
  <si>
    <t>端口</t>
    <phoneticPr fontId="8" type="noConversion"/>
  </si>
  <si>
    <t>扫描返回信息</t>
    <phoneticPr fontId="3" type="noConversion"/>
  </si>
  <si>
    <r>
      <t>C</t>
    </r>
    <r>
      <rPr>
        <b/>
        <sz val="11"/>
        <color theme="1"/>
        <rFont val="Arial Unicode MS"/>
        <family val="2"/>
        <charset val="134"/>
      </rPr>
      <t>VE</t>
    </r>
    <phoneticPr fontId="3" type="noConversion"/>
  </si>
  <si>
    <t>漏洞说明</t>
    <phoneticPr fontId="3" type="noConversion"/>
  </si>
  <si>
    <t>PHP 5.5.x &lt; 5.5.16 Multiple Vulnerabilities</t>
  </si>
  <si>
    <t>编号</t>
    <phoneticPr fontId="3" type="noConversion"/>
  </si>
  <si>
    <t>漏洞英文名称</t>
    <phoneticPr fontId="3" type="noConversion"/>
  </si>
  <si>
    <t>Oracle BEA Product Suite WebLogic Server 组件本地攻击漏洞</t>
    <phoneticPr fontId="3" type="noConversion"/>
  </si>
  <si>
    <t xml:space="preserve">升级补丁MS06-018
http://technet.microsoft.com/zh-cn/security/bulletin/ms06-018 </t>
    <phoneticPr fontId="3" type="noConversion"/>
  </si>
  <si>
    <t>MS08-067：RPC 请求远程代码执行漏洞</t>
    <phoneticPr fontId="3" type="noConversion"/>
  </si>
  <si>
    <t>该主机上存在ms09-001漏洞，攻击者可以利用此漏洞者执行指定shellcode代码，或者主机出现拒绝服务状态。</t>
    <phoneticPr fontId="3" type="noConversion"/>
  </si>
  <si>
    <t>Apache版本较低，导致存在多处漏洞。</t>
    <phoneticPr fontId="3" type="noConversion"/>
  </si>
  <si>
    <t>微软已不支持Microsoft Windows 2000</t>
    <phoneticPr fontId="3" type="noConversion"/>
  </si>
  <si>
    <t>Sun Java Web Console &lt; 3.0.5 Remote File Enumeration</t>
  </si>
  <si>
    <t>sun java_web_console 访问权限绕过漏洞</t>
  </si>
  <si>
    <t>Sun Java Web Console存在未知漏洞。远程攻击者绕过预设的访问限制和通过未知向量来决定文件或目录的存在。</t>
  </si>
  <si>
    <t>ICCP / COTP （ ISO 8073 ）协议检测</t>
  </si>
  <si>
    <t>VMware vCenter Server NFC Protocol Code Execution (VMSA-2013-0003)</t>
  </si>
  <si>
    <t>VMware多个产品内存破坏漏洞(CNNVD-201302-458)</t>
  </si>
  <si>
    <t>VMware vCenter服务器安全更新（vmsa-2013-0006）</t>
  </si>
  <si>
    <t>升级到VMware vCenter 5.1更新1或更高版本。</t>
  </si>
  <si>
    <t>VMware Security Updates for vCenter Server (VMSA-2013-0012)</t>
  </si>
  <si>
    <t>VMware vCenter服务器的多个Java漏洞（vmsa-2015-0003）</t>
  </si>
  <si>
    <t>风险等级</t>
    <phoneticPr fontId="3" type="noConversion"/>
  </si>
  <si>
    <t>DNS服务器允许递归查询，DNS缓存器可能经由BIND通过预测查询IDs而中毒。</t>
    <phoneticPr fontId="3" type="noConversion"/>
  </si>
  <si>
    <t>MSSQL Server “sa”账号空口令，攻击者可以利用其直接控制整个数据库，并且可以通过数据库获取到整台数据库系统的控制权限。</t>
    <phoneticPr fontId="3" type="noConversion"/>
  </si>
  <si>
    <t>修改MSSQL数据库sa用户密码</t>
    <phoneticPr fontId="3" type="noConversion"/>
  </si>
  <si>
    <t>WEB-INF包含一些JAVA类文件和WEB应用程序的配置信息，所以此目录一般是限制访问的，不过多家厂商的servlet引擎对畸形URL请求处理不够正确，远程攻击者可以提交在WEB-INF包含'.'字符的URL请求，可导致服务器返回包含在受限目录下的任意文件内容，攻击者可能可以下载应用程序的.java和.class文件，或者访问其他配置文件，利用这些信息攻击者可以进一步对系统进行攻击。</t>
    <phoneticPr fontId="3" type="noConversion"/>
  </si>
  <si>
    <t>请根据相应厂家在其官网获取相关补丁包。（ Sybase Enterprise Application Server、Oracle9i Application Server with OC4J、Orion Server、Macromedia/Allaire JRun、HP Application Server、Pramati Application Server和jo! Webserver等）</t>
    <phoneticPr fontId="3" type="noConversion"/>
  </si>
  <si>
    <t xml:space="preserve">MS02-061: Microsoft SQL Server Multiple Vulnerabilities (uncredentialed check) </t>
    <phoneticPr fontId="3" type="noConversion"/>
  </si>
  <si>
    <t>紧急</t>
    <phoneticPr fontId="3" type="noConversion"/>
  </si>
  <si>
    <t xml:space="preserve">远程主机可执行shellcode代码，远程主机运行的Windows RPC接口版本存在漏洞,这可能允许攻击者执行任意代码,从而获得系统权限。
</t>
    <phoneticPr fontId="3" type="noConversion"/>
  </si>
  <si>
    <t>微软已经发布了Windows NT补丁、2000、XP和2003系统的相关补丁包：
http://technet.microsoft.com/en-us/security/bulletin/ms03-039</t>
    <phoneticPr fontId="3" type="noConversion"/>
  </si>
  <si>
    <t>MS03-043: Messenger Service存在缓冲区溢出漏洞</t>
    <phoneticPr fontId="3" type="noConversion"/>
  </si>
  <si>
    <t xml:space="preserve"> Apache Tomcat servlet/JSP container default files</t>
    <phoneticPr fontId="3" type="noConversion"/>
  </si>
  <si>
    <t>根据相应DNS软件，安装最新安全补丁</t>
    <phoneticPr fontId="3" type="noConversion"/>
  </si>
  <si>
    <t>远程服务理解Bonjour协议（也称为ZeroConf或mdns）,它允许任何人发现远程主机的信息，例如操作系统类型及确切的版本，主机名及主机正在运行的服务列表。</t>
    <phoneticPr fontId="3" type="noConversion"/>
  </si>
  <si>
    <t>Apache HTTP 服务 403 错误页面 UTF-7 编码 XSS</t>
    <phoneticPr fontId="3" type="noConversion"/>
  </si>
  <si>
    <t>Oracle WebLogic ForeignJMS Component Unspecified Information Disclosure (CVE-2008-2576)</t>
    <phoneticPr fontId="3" type="noConversion"/>
  </si>
  <si>
    <t>Oracle WebLogic 的 ForeignJMS 组件存在信息泄露漏洞</t>
    <phoneticPr fontId="3" type="noConversion"/>
  </si>
  <si>
    <t>Oracle WebLogic DoS (CVE-2008-2582)</t>
    <phoneticPr fontId="3" type="noConversion"/>
  </si>
  <si>
    <t>Oracle WebLogic 拒绝服务攻击漏洞</t>
    <phoneticPr fontId="3" type="noConversion"/>
  </si>
  <si>
    <t>Oracle WebLogic Portal Elevation of Privilege (CVE-2008-5462)</t>
    <phoneticPr fontId="3" type="noConversion"/>
  </si>
  <si>
    <t>建议修改默认FTP密码</t>
    <phoneticPr fontId="3" type="noConversion"/>
  </si>
  <si>
    <t xml:space="preserve">参考VENDOR公告相关信息，升级BEA WebLogic到最新的版本。
</t>
    <phoneticPr fontId="3" type="noConversion"/>
  </si>
  <si>
    <t>MS05-039：Windows即插即用(PnP)功能 缓冲区溢出漏洞</t>
    <phoneticPr fontId="3" type="noConversion"/>
  </si>
  <si>
    <t>FTP可读目录</t>
    <phoneticPr fontId="3" type="noConversion"/>
  </si>
  <si>
    <t>SSL Version 2 (v2) Protocol Detection</t>
    <phoneticPr fontId="3" type="noConversion"/>
  </si>
  <si>
    <t>MS04-012: Microsoft RPC/DCOM 更新漏洞</t>
    <phoneticPr fontId="3" type="noConversion"/>
  </si>
  <si>
    <t>升级补丁MS06-040
http://technet.microsoft.com/zh-cn/security/bulletin/ms06-040</t>
    <phoneticPr fontId="3" type="noConversion"/>
  </si>
  <si>
    <t>Tomcat 的appdev/sample/web/hello.jsp example应用程序中存在多个跨站脚本攻击漏洞。远程攻击者可以借助test参数和其他未明向量，注入任意的web脚本或HTML</t>
    <phoneticPr fontId="3" type="noConversion"/>
  </si>
  <si>
    <t>lighttpd mod_fastcgi HTTP请求数据包头远程溢出漏洞</t>
    <phoneticPr fontId="3" type="noConversion"/>
  </si>
  <si>
    <t>远程主机支持采用弱加密或完全不用加密的SSL加密。</t>
    <phoneticPr fontId="3" type="noConversion"/>
  </si>
  <si>
    <t>多家厂商DNS缓存中毒漏洞</t>
    <phoneticPr fontId="3" type="noConversion"/>
  </si>
  <si>
    <t>Apache &lt; 2.2.9 Multiple Vulnerabilities (DoS, XSS)</t>
    <phoneticPr fontId="3" type="noConversion"/>
  </si>
  <si>
    <t>Apache版本低于2.2.9，存在多个安全威胁</t>
    <phoneticPr fontId="3" type="noConversion"/>
  </si>
  <si>
    <t>确保受影响的模块未使用或配置，以避免存在安全问题，也可升级Apache版本至2.2.9及以上。</t>
    <phoneticPr fontId="3" type="noConversion"/>
  </si>
  <si>
    <t>根据现有版本，远程主机web服务已不在厂商支持范围内，缺少厂商的支持，意味着没有新的安全补丁包发布，结果主机存在多个安全威胁。</t>
    <phoneticPr fontId="3" type="noConversion"/>
  </si>
  <si>
    <t>升级补丁MS08-067
http://technet.microsoft.com/zh-cn/security/bulletin/ms08-067</t>
    <phoneticPr fontId="3" type="noConversion"/>
  </si>
  <si>
    <t>PHP &lt; 5.2.8 Multiple Vulnerabilities</t>
    <phoneticPr fontId="3" type="noConversion"/>
  </si>
  <si>
    <t>限制能访问DNS的源IP</t>
    <phoneticPr fontId="3" type="noConversion"/>
  </si>
  <si>
    <t>SNMP默认团体名(public)</t>
    <phoneticPr fontId="3" type="noConversion"/>
  </si>
  <si>
    <t>Serv-U &lt; 9.0.0.1</t>
    <phoneticPr fontId="3" type="noConversion"/>
  </si>
  <si>
    <t>SSL Certificate Null Character Spoofing Weakness</t>
    <phoneticPr fontId="3" type="noConversion"/>
  </si>
  <si>
    <t>远程主机使用的SSH证书存在一个NULL字符，这意味着一种妥协或一种例如SSLsniff的程序,欺骗SSL证书，并通过中间人攻击截取数据流量。</t>
    <phoneticPr fontId="3" type="noConversion"/>
  </si>
  <si>
    <t>远程主机支持SSL使用的密码采用中强度解密，即使用的KEY解密长度至少56位，但少于112位。注意：如果攻击者在同一个物理网段，密码很容易暴露。</t>
    <phoneticPr fontId="3" type="noConversion"/>
  </si>
  <si>
    <t>低版本的Serv-U存在多处安全漏洞，会话cookie导致缓冲区溢出、TEA解码算法导致缓冲区溢出、还有拒绝服务等漏洞</t>
    <phoneticPr fontId="3" type="noConversion"/>
  </si>
  <si>
    <t>MS10-012：SMB远程代码执行漏洞</t>
    <phoneticPr fontId="3" type="noConversion"/>
  </si>
  <si>
    <t>MS11-030: Vulnerability in DNS Resolution Could Allow Remote Code Execution (2509553)</t>
    <phoneticPr fontId="3" type="noConversion"/>
  </si>
  <si>
    <t xml:space="preserve">目前厂商已经发布了Windows XP, 2003, Vista, 2008, 7, and 2008 R2平台的升级补丁包以修复此安全问题，补丁获取链接： 
http://technet.microsoft.com/zh-CN/security/bulletin/ms11-030 </t>
    <phoneticPr fontId="3" type="noConversion"/>
  </si>
  <si>
    <t>微软厂商已发布windows2003，2008和2008 R2的相关补丁包。
http://technet.microsoft.com/en-us/security/bulletin/ms11-035</t>
    <phoneticPr fontId="3" type="noConversion"/>
  </si>
  <si>
    <t>Apache版本较低，由于发生在 'mod_proxy_ajp '函数的错误，可能会受到DOS攻击。</t>
    <phoneticPr fontId="3" type="noConversion"/>
  </si>
  <si>
    <t>Apache httpOnly Cookie信息泄露</t>
    <phoneticPr fontId="3" type="noConversion"/>
  </si>
  <si>
    <t>PHP 版本5.4.x 低于 5.4.4</t>
    <phoneticPr fontId="3" type="noConversion"/>
  </si>
  <si>
    <t>替换证书链中的RSA 密钥为长度高于1024位
http://www.nessus.org/u?f460485a
http://www.nessus.org/u?7949cc5f</t>
    <phoneticPr fontId="3" type="noConversion"/>
  </si>
  <si>
    <t>建议升级HP智能管理中心用户访问管理器版本为5.2 E401 及以上。相关链接：
http://www.nessus.org/u?2c5341ed
http://www.securityfocus.com/archive/1/525928/30/0/threaded
http://www.zerodayinitiative.com/advisories/ZDI-13-058</t>
    <phoneticPr fontId="3" type="noConversion"/>
  </si>
  <si>
    <t>IBM Lotus Domino版本为8.5.x，可能受到存在多个安全漏洞攻击。</t>
    <phoneticPr fontId="3" type="noConversion"/>
  </si>
  <si>
    <t>PHP 5.4.x &lt; 5.4.13 Information Disclosure</t>
    <phoneticPr fontId="3" type="noConversion"/>
  </si>
  <si>
    <t>安装在远程主机上的虚拟化管理应用存在多个漏洞</t>
    <phoneticPr fontId="3" type="noConversion"/>
  </si>
  <si>
    <t>IBM Lotus Domino 8.5.x &lt; 8.5.3 FP 4 Multiple Vulnerabilities</t>
    <phoneticPr fontId="3" type="noConversion"/>
  </si>
  <si>
    <t>目前厂商已经发布了升级补丁以修复此安全问题，补丁获取链接： 
http://www.jboss.com/products/platforms/application/</t>
    <phoneticPr fontId="3" type="noConversion"/>
  </si>
  <si>
    <t>远程 VMware ESXi 5.0主机存在多个安全漏洞。</t>
    <phoneticPr fontId="3" type="noConversion"/>
  </si>
  <si>
    <t>应用补丁ESXi500-201205401-SG或参考提供商提出的修复建议.，相关链接：
http://kb.vmware.com/kb/2019857
http://www.vmware.com/security/advisories/VMSA-2012-0009.html</t>
    <phoneticPr fontId="3" type="noConversion"/>
  </si>
  <si>
    <t>ESXi 5.0 &lt; Build 764879 Multiple Vulnerabilities (remote check)</t>
    <phoneticPr fontId="3" type="noConversion"/>
  </si>
  <si>
    <t>IBM Domino 8.5.x &lt; 8.5.3 FP6 iNotes Multiple XSS (uncredentialed check)</t>
    <phoneticPr fontId="3" type="noConversion"/>
  </si>
  <si>
    <t>IBM Domino版本低于8.5.3 FP5 iNotes，可能受到存在多个安全漏洞攻击。</t>
    <phoneticPr fontId="3" type="noConversion"/>
  </si>
  <si>
    <t>HP Intelligent Management Center 版本低于7.0 E0102，DES的ECB模式中的静态加密密钥被保存起来，攻击者可通过该漏洞获得管理凭据。</t>
    <phoneticPr fontId="3" type="noConversion"/>
  </si>
  <si>
    <t>应用补丁ESXi500-201407001 to ESXi 5.0.，相关链接：http://www.vmware.com/security/advisories/VMSA-2014-0006.html
http://kb.vmware.com/kb/2078807
https://www.openssl.org/news/secadv_20140605.txt</t>
    <phoneticPr fontId="3" type="noConversion"/>
  </si>
  <si>
    <t>NFS 共享可读</t>
    <phoneticPr fontId="3" type="noConversion"/>
  </si>
  <si>
    <t>PHP &lt; 4.3.10 / 5.0.3 Multiple Vulnerabilities</t>
    <phoneticPr fontId="3" type="noConversion"/>
  </si>
  <si>
    <t>PHP &lt; 5.2.4 Multiple Vulnerabilities</t>
    <phoneticPr fontId="3" type="noConversion"/>
  </si>
  <si>
    <t>SNMP 'GETBULK' 反射型 DDoS</t>
    <phoneticPr fontId="3" type="noConversion"/>
  </si>
  <si>
    <t>修改/etc/inetd.conf 文件，注释掉'exec'所在行，并重新启动inetd进程</t>
    <phoneticPr fontId="3" type="noConversion"/>
  </si>
  <si>
    <t>PHP 5.4.x &lt; 5.4.38 Multiple Vulnerabilities (GHOST)</t>
    <phoneticPr fontId="3" type="noConversion"/>
  </si>
  <si>
    <t xml:space="preserve">暂时还未有解决方案，相关链接：
http://archives.neohapsis.com/archives/fulldisclosure/2012-12/0010.html  
https://mariadb.atlassian.net/browse/MDEV-3909  </t>
    <phoneticPr fontId="3" type="noConversion"/>
  </si>
  <si>
    <t xml:space="preserve">
远程SMTP服务器显示允许邮件传送。这意味着一个未经身份验证的远程用户可能使用邮件服务器发送消息到世界各地,从而浪费网络带宽和计算机资源。这些服务器是批量发送垃圾邮件垃圾邮件发送者的目标。
在某些场景中,队列消息的数量交付可能成千上万,导致邮件服务器崩溃。此外,SMTP服务器,允许传送经常添加到实时阻止列表来维护全球安全使用的网站和公司。如果添加到一个列表,提供合法的邮件可能受到严重冲击,造成拒绝服务的一种形式。</t>
    <phoneticPr fontId="3" type="noConversion"/>
  </si>
  <si>
    <t>Oracle RDBMS Patchset Out of Date (remote check)</t>
    <phoneticPr fontId="3" type="noConversion"/>
  </si>
  <si>
    <t>Samba是一套实现SMB（Server Messages Block）协议、跨平台进行文件共享和打印共享服务的程序。
　　Samba 在处理'AndX' 请求过程中存在堆缓冲区溢出漏洞，远程攻击者可通过能触发无限循环的Batched (AndX) 请求造成拒绝服务或执行任意代码。</t>
    <phoneticPr fontId="3" type="noConversion"/>
  </si>
  <si>
    <t>HP Onboard Administrator Multiple Vulnerabilities</t>
    <phoneticPr fontId="3" type="noConversion"/>
  </si>
  <si>
    <t>目前厂商已经发布了升级补丁以修复此安全问题，补丁获取链接： 
http://www.nessus.org/u?ec3c1b58
http://www.securityfocus.com/archive/1/531406/30/0/threaded</t>
    <phoneticPr fontId="3" type="noConversion"/>
  </si>
  <si>
    <t>升级HP System Management Homepage版本至7.2.4.1 / 7.3.3.1及以上，相关链接：
http://www.nessus.org/u?58824618
http://www.securityfocus.com/archive/1/532538/30/0/threaded
http://www.securityfocus.com/archive/1/532642/30/0/threaded
http://www.openssl.org/news/vulnerabilities.html#CVE-2010-5298
http://www.openssl.org/news/vulnerabilities.html#2014-0076
http://www.openssl.org/news/vulnerabilities.html#CVE-2014-0198
http://www.openssl.org/news/vulnerabilities.html#CVE-2014-0221
http://www.openssl.org/news/vulnerabilities.html#CVE-2014-0224
http://www.openssl.org/news/vulnerabilities.html#CVE-2014-3470
http://www.openssl.org/news/secadv_20140605.txt</t>
    <phoneticPr fontId="3" type="noConversion"/>
  </si>
  <si>
    <t>Oracle Database, October 2012 Critical Patch Update</t>
    <phoneticPr fontId="3" type="noConversion"/>
  </si>
  <si>
    <t>PHP版本较低，存在多个安全漏洞威胁。</t>
    <phoneticPr fontId="3" type="noConversion"/>
  </si>
  <si>
    <t>Tomcat 4.1 XSS</t>
  </si>
  <si>
    <t>Adobe Flash Media Server &lt; 3.5.7 / 4.0.3 Denial of Service (APSB11-20)</t>
  </si>
  <si>
    <t>Adobe Media Server Unsupported Version Detection</t>
  </si>
  <si>
    <t>Sun Java Web Console helpwindow.jsp / masthead.jsp Multiple XSS</t>
  </si>
  <si>
    <t>HP System Management Homepage &lt; 7.4.1 Single Sign On Buffer Overflow RCE</t>
  </si>
  <si>
    <t>Tivoli Storage Manager Server Unsupported Product</t>
  </si>
  <si>
    <t>Firebird Default Credentials</t>
  </si>
  <si>
    <t>Microsoft IIS Translate f: ASP/ASA Source Disclosure</t>
  </si>
  <si>
    <t>Serv-U &lt; 10.3.0.1 SFTP Authentication Bypass</t>
  </si>
  <si>
    <t>Anonymous FTP Enabled</t>
    <phoneticPr fontId="3" type="noConversion"/>
  </si>
  <si>
    <t>FTP匿名登录</t>
    <phoneticPr fontId="3" type="noConversion"/>
  </si>
  <si>
    <t>中</t>
    <phoneticPr fontId="3" type="noConversion"/>
  </si>
  <si>
    <t>FTP服务使用了匿名登录，允许任何用户访问FTP服务文件。</t>
    <phoneticPr fontId="3" type="noConversion"/>
  </si>
  <si>
    <t>禁用FTP匿名登录</t>
    <phoneticPr fontId="3" type="noConversion"/>
  </si>
  <si>
    <t>FTP Privileged Port Bounce Scan</t>
    <phoneticPr fontId="3" type="noConversion"/>
  </si>
  <si>
    <t>FTP跳转攻击漏洞</t>
    <phoneticPr fontId="3" type="noConversion"/>
  </si>
  <si>
    <t>高</t>
    <phoneticPr fontId="3" type="noConversion"/>
  </si>
  <si>
    <t>攻击者可利用该漏洞使用PORT命令让远程FTP服务器作为跳板，跳转连接到的其他主机，从而访问其它主机，让人误认为该访问来自于FTP服务器。</t>
    <phoneticPr fontId="3" type="noConversion"/>
  </si>
  <si>
    <t>1）更新升级FTP服务器
2）如果该FTP服务非必要业务，建议关闭</t>
    <phoneticPr fontId="3" type="noConversion"/>
  </si>
  <si>
    <t>Windows NT FTP 'guest' Account Present</t>
    <phoneticPr fontId="3" type="noConversion"/>
  </si>
  <si>
    <t>Windows NT FTP服务存在guest默认账户</t>
    <phoneticPr fontId="3" type="noConversion"/>
  </si>
  <si>
    <t>ftp服务存在默认账户，这可能运行攻击者使用默认账号入侵系统。</t>
    <phoneticPr fontId="3" type="noConversion"/>
  </si>
  <si>
    <t>如果不需要FTP服务，建议禁用，如需要，建议禁用guest默认账户。</t>
    <phoneticPr fontId="3" type="noConversion"/>
  </si>
  <si>
    <t>rlogin Service Detection</t>
    <phoneticPr fontId="3" type="noConversion"/>
  </si>
  <si>
    <t>运行rlogin服务</t>
    <phoneticPr fontId="3" type="noConversion"/>
  </si>
  <si>
    <t>高</t>
    <phoneticPr fontId="3" type="noConversion"/>
  </si>
  <si>
    <t>该服务器上开启了rlogin服务，rlogin是一种不安全的远程登录服务，可以远程浏览文件、复制文件等等。</t>
    <phoneticPr fontId="3" type="noConversion"/>
  </si>
  <si>
    <t>除非需要使用该服务来做双机热备，否则建议关闭：
vi /etc/inetd.conf
用#号注释rlogin行
refresh –s inetd  （重启inetd守护进程）</t>
    <phoneticPr fontId="3" type="noConversion"/>
  </si>
  <si>
    <t>DNS Server Recursive Query Cache Poisoning Weakness</t>
    <phoneticPr fontId="3" type="noConversion"/>
  </si>
  <si>
    <t>DNS缓存器中毒漏洞</t>
    <phoneticPr fontId="3" type="noConversion"/>
  </si>
  <si>
    <t>限制允许递归查询的主机。如果您正在使用bind 8,你可以通过使用named.conf“选项”的指令 allow-recursion 来完成。如果您正在使用bing 9,您可以定义一个组织的内部地址，通过使用acl的命令来完成。您可以显式地声明:“allow-recursion { hosts_defined_in_acl }’如果您使用的是其他域名服务器,请参考其文档。</t>
    <phoneticPr fontId="3" type="noConversion"/>
  </si>
  <si>
    <t>Microsoft SQL Server sa Account Default Blank Password</t>
    <phoneticPr fontId="3" type="noConversion"/>
  </si>
  <si>
    <t xml:space="preserve">MSSQL Server “sa”账号空口令 </t>
    <phoneticPr fontId="3" type="noConversion"/>
  </si>
  <si>
    <t>Microsoft SQL Server Default Credentials</t>
    <phoneticPr fontId="3" type="noConversion"/>
  </si>
  <si>
    <t>MSSQL Server “sa”账号弱口令</t>
    <phoneticPr fontId="3" type="noConversion"/>
  </si>
  <si>
    <t>MSSQL数据库使用了弱口令（sa/sa），攻击者可以利用其直接控制整个数据库，并且可以通过数据库获取到整台数据库系统的控制权限。</t>
    <phoneticPr fontId="3" type="noConversion"/>
  </si>
  <si>
    <t>修改MSSQL数据库sa用户密码</t>
    <phoneticPr fontId="3" type="noConversion"/>
  </si>
  <si>
    <t>SSH Protocol Version 1 Session Key Retrieval</t>
    <phoneticPr fontId="3" type="noConversion"/>
  </si>
  <si>
    <t>SSH v1版本会话密钥检索</t>
    <phoneticPr fontId="3" type="noConversion"/>
  </si>
  <si>
    <t>远程SSH守护进程使用SSH版本为1.33或1.5，这些加密协议已不再安全。</t>
    <phoneticPr fontId="3" type="noConversion"/>
  </si>
  <si>
    <t>禁用兼容SSH V1的协议。</t>
    <phoneticPr fontId="3" type="noConversion"/>
  </si>
  <si>
    <t>Multiple Server Crafted Request WEB-INF Directory Information  Disclosure</t>
    <phoneticPr fontId="3" type="noConversion"/>
  </si>
  <si>
    <t>多家厂商WEB-INF目录内容远程泄露漏洞</t>
    <phoneticPr fontId="3" type="noConversion"/>
  </si>
  <si>
    <t>HTTP TRACE / TRACK Methods Allowed</t>
    <phoneticPr fontId="3" type="noConversion"/>
  </si>
  <si>
    <t>HTTP TRACE / TRAC方法未禁用</t>
    <phoneticPr fontId="3" type="noConversion"/>
  </si>
  <si>
    <t>主机支持TRACE和/或TRACK方法。 TRACE和TRACK是HTTP用来调试web服务器连接的方法。</t>
    <phoneticPr fontId="3" type="noConversion"/>
  </si>
  <si>
    <t>禁用TRACE / TRAC方法，参考如下：
1、IIS下：IIS信息服务－web服务扩展：禁止"WebDAV；
2、apache下：修改httpd.conf配置文件中"TraceEnable on"为"TraceEnable off"</t>
    <phoneticPr fontId="3" type="noConversion"/>
  </si>
  <si>
    <t>MS02-061: Microsoft SQL Server多个漏洞攻击</t>
    <phoneticPr fontId="3" type="noConversion"/>
  </si>
  <si>
    <t>紧急</t>
    <phoneticPr fontId="3" type="noConversion"/>
  </si>
  <si>
    <t>远程数据库服务器可能存在多个缓冲区溢出漏洞。</t>
    <phoneticPr fontId="3" type="noConversion"/>
  </si>
  <si>
    <t>微软已经发布相关补丁包：
http://technet.microsoft.com/en-us/security/bulletin/ms02-061</t>
    <phoneticPr fontId="3" type="noConversion"/>
  </si>
  <si>
    <t xml:space="preserve">Microsoft Windows Administrator Default Password Detection (W32/Deloder Worm Susceptibility)
</t>
    <phoneticPr fontId="3" type="noConversion"/>
  </si>
  <si>
    <t>未修改Administrator 默认密码</t>
    <phoneticPr fontId="3" type="noConversion"/>
  </si>
  <si>
    <t>紧急</t>
    <phoneticPr fontId="3" type="noConversion"/>
  </si>
  <si>
    <t>W32/Deloder 是一个蠕虫，可使用已建立的默认密码，尝试连接远程共享，在共享主机上上传非法数据等。</t>
    <phoneticPr fontId="3" type="noConversion"/>
  </si>
  <si>
    <t>修改Administrator的密码为强密码，至少包含数字、字母、特殊字符，长度为8位以上。</t>
    <phoneticPr fontId="3" type="noConversion"/>
  </si>
  <si>
    <t xml:space="preserve">MS03-039: Microsoft RPC Interface Buffer Overrun (824146) (uncredentialed check) </t>
    <phoneticPr fontId="3" type="noConversion"/>
  </si>
  <si>
    <t>MS03-039：微软RPC接口缓冲区溢出</t>
    <phoneticPr fontId="3" type="noConversion"/>
  </si>
  <si>
    <t>MS03-043: Buffer Overrun in Messenger Service (828035) (uncredentialed check)</t>
    <phoneticPr fontId="3" type="noConversion"/>
  </si>
  <si>
    <t>Messenger Service存在一个安全漏洞可使受影响的系统上执行任意代码。成功利用此漏洞在本地系统权限上执行任意代码的攻击者，将可能导致Messenger Service终止。
禁用Messenger Service将防止攻击的可能性。</t>
    <phoneticPr fontId="3" type="noConversion"/>
  </si>
  <si>
    <t>微软已发布 Windows NT, 2000, XP and 2003平台的相关版本：
http://technet.microsoft.com/en-us/security/bulletin/ms03-043</t>
    <phoneticPr fontId="3" type="noConversion"/>
  </si>
  <si>
    <t>Apache tomcat默认文件未删除</t>
    <phoneticPr fontId="3" type="noConversion"/>
  </si>
  <si>
    <t>中</t>
    <phoneticPr fontId="3" type="noConversion"/>
  </si>
  <si>
    <t>Apache Tomcat的 servlet / JSP容器中安装有示例JSP和Servlet文件。应该删除这些文件，因为它们可以帮助 
攻击者发现Tomcat或者远程主机的安装信息。而且他们本身可能也存在安全弱点，比如：跨站点脚本问题。</t>
    <phoneticPr fontId="3" type="noConversion"/>
  </si>
  <si>
    <t xml:space="preserve">确认以下目录的文件与业务系统是否无关
/examples/
/docs/
若不需要些文件，建议移除
</t>
    <phoneticPr fontId="3" type="noConversion"/>
  </si>
  <si>
    <t>MS04-011: Security Update for Microsoft Windows (835732) (uncredentialed check)</t>
    <phoneticPr fontId="3" type="noConversion"/>
  </si>
  <si>
    <t>MS04-011: 微软安全更新漏洞</t>
    <phoneticPr fontId="3" type="noConversion"/>
  </si>
  <si>
    <t>Windows版本包含的LSASS函数'DsRolerUpgradeDownlevelServer'可能运行攻击者中远程主机上使用系统权限执行shellcode代码。
一系列的蠕虫包括震荡波疯狂地利用此漏洞。</t>
    <phoneticPr fontId="3" type="noConversion"/>
  </si>
  <si>
    <t>微软已发布 Windows NT, 2000, XP and 2003平台的相关版本：
http://technet.microsoft.com/en-us/security/bulletin/ms04-011</t>
    <phoneticPr fontId="3" type="noConversion"/>
  </si>
  <si>
    <t xml:space="preserve"> DNS Server Cache Snooping Remote Information Disclosure</t>
    <phoneticPr fontId="3" type="noConversion"/>
  </si>
  <si>
    <t>DNS缓存窥探信息泄露漏洞</t>
    <phoneticPr fontId="3" type="noConversion"/>
  </si>
  <si>
    <t>DNS缓存窥探是确定某一个资源记录是否存在于一个特定的DNS缓存中的过程。通过这个过程攻击者可以得到一些信息，例如解析器处理了哪些域名查询，攻击者可以了解到最近哪些主机被访问了，从而寻找可攻击对象。</t>
    <phoneticPr fontId="3" type="noConversion"/>
  </si>
  <si>
    <t>mDNS Detection (Remote Network)</t>
    <phoneticPr fontId="3" type="noConversion"/>
  </si>
  <si>
    <t>mDNS检测（远程网络）</t>
    <phoneticPr fontId="3" type="noConversion"/>
  </si>
  <si>
    <t>如果需要的话，禁用UDP5353端口号，过滤流进的数据流。</t>
    <phoneticPr fontId="3" type="noConversion"/>
  </si>
  <si>
    <t>MS04-022：Task Scheduler 远程溢出漏洞</t>
    <phoneticPr fontId="3" type="noConversion"/>
  </si>
  <si>
    <t>微软 Task Scheduler在处理应用程序文件名验证时存在问题，远程攻击者可以利用这个漏洞以系统权限在系统上执行任意指令</t>
    <phoneticPr fontId="3" type="noConversion"/>
  </si>
  <si>
    <t xml:space="preserve">升级补丁MS04-022
http://technet.microsoft.com/zh-cn/security/bulletin/ms04-022 </t>
    <phoneticPr fontId="3" type="noConversion"/>
  </si>
  <si>
    <t>SSL Certificate Expiry</t>
    <phoneticPr fontId="3" type="noConversion"/>
  </si>
  <si>
    <t>SSL证书过期</t>
    <phoneticPr fontId="3" type="noConversion"/>
  </si>
  <si>
    <t>远程主机的SSL证书已经过期。</t>
    <phoneticPr fontId="3" type="noConversion"/>
  </si>
  <si>
    <t>购买或生成一个新的SSL证书来替换现有的。</t>
    <phoneticPr fontId="3" type="noConversion"/>
  </si>
  <si>
    <t>News Server (NNTP) Anonymous Read / Write Access</t>
    <phoneticPr fontId="3" type="noConversion"/>
  </si>
  <si>
    <t>NNTP服务允许匿名用户读写</t>
    <phoneticPr fontId="3" type="noConversion"/>
  </si>
  <si>
    <t>中</t>
    <phoneticPr fontId="3" type="noConversion"/>
  </si>
  <si>
    <t>远程主机开启了远程用户服务方式，一些用户更喜欢开启公共的匿名NNTP服务，用来读写或上传文件。非预期的连接可能消耗您的带宽，如果恶意的攻击者使用您的服务器上传恶意文件，这可能让您陷入非法纠纷中。</t>
    <phoneticPr fontId="3" type="noConversion"/>
  </si>
  <si>
    <t>强制身份认证，或者过滤非法链接数。</t>
    <phoneticPr fontId="3" type="noConversion"/>
  </si>
  <si>
    <t>Apache HTTP Server 403 Error Page UTF-7 Encoded XSS</t>
    <phoneticPr fontId="3" type="noConversion"/>
  </si>
  <si>
    <t xml:space="preserve">远程web服务器容易受到跨站点脚本攻击，构造一个精心设计的请求把脚本代码注入到一个utf-7编码的 403响应页面中，从而导致跨站脚本攻击。
实际上这个漏洞由于web浏览器不符合RFC 2616 而导致的。Apache HTTP服务器本身不存在这个漏洞，只是由于其默认配置会使攻击者能够在存在漏洞的浏览器触发该漏洞。
</t>
    <phoneticPr fontId="3" type="noConversion"/>
  </si>
  <si>
    <t>升级Apache到 2.2.8版本或以上。</t>
    <phoneticPr fontId="3" type="noConversion"/>
  </si>
  <si>
    <t>Oracle WebLogic Server Servlets Unspecified Unauthenticated Remote Issue (CVE-2008-4013)</t>
    <phoneticPr fontId="3" type="noConversion"/>
  </si>
  <si>
    <t>BEA Product Suite 组件" WebLogic Server "未明安全漏洞</t>
    <phoneticPr fontId="3" type="noConversion"/>
  </si>
  <si>
    <t>BEA Product Suite组件"WebLogic Workshop"未明安全漏洞，远程攻击者可以通过未明向量影响机密性、完整性和不可否认性。</t>
    <phoneticPr fontId="3" type="noConversion"/>
  </si>
  <si>
    <t>目前厂商已经发布了升级补丁以修复这个安全问题，请到厂商的主页下载： 
http://www.oracle.com/technetwork/topics/security/2801-100086.html</t>
    <phoneticPr fontId="3" type="noConversion"/>
  </si>
  <si>
    <t>目前厂商已经发布了升级补丁以修复这个安全问题，请到厂商的主页下载： 
http://www.oracle.com/technetwork/topics/security/2782-088912.html</t>
    <phoneticPr fontId="3" type="noConversion"/>
  </si>
  <si>
    <t>Oracle WebLogic UDDI Explorer Unspecified Vulnerability (CVE-2008-2581)</t>
    <phoneticPr fontId="3" type="noConversion"/>
  </si>
  <si>
    <t>Oracle WebLogic UDDI Explorer 组件远程攻击漏洞</t>
    <phoneticPr fontId="3" type="noConversion"/>
  </si>
  <si>
    <t>Oracle BEA Product Suite 10.0 MP1, 9.2 MP3, 9.1, 9.0, 8.1 SP6, and 7.0 SP7 中的WebLogic Server 组件存在与 UDDI Explorer相关的远程攻击漏洞。</t>
    <phoneticPr fontId="3" type="noConversion"/>
  </si>
  <si>
    <t>目前厂商已经发布了升级补丁以修复这个安全问题，补丁下载链接：      http://www.oracle.com/technology/deploy/security/critical-patch-updates/cpujul2008.html?_template=/o</t>
    <phoneticPr fontId="3" type="noConversion"/>
  </si>
  <si>
    <t>Oracle BEA Product Suite 10.0 MP1, 9.2 MP3, 9.1, 9.0, 8.1 SP6, and 7.0 SP7 中的WebLogic Server 组件存在远程拒绝服务攻击漏洞。</t>
    <phoneticPr fontId="3" type="noConversion"/>
  </si>
  <si>
    <t>目前厂商已经发布了升级补丁以修复这个安全问题，补丁下载链接：
http://www.oracle.com/technology/deploy/security/critical-patch-updates/cpujul2008.html?_template=/o</t>
    <phoneticPr fontId="3" type="noConversion"/>
  </si>
  <si>
    <t>Oracle WebLogic WLS Unspecified Vulnerability (CVE-2008-5461)</t>
    <phoneticPr fontId="3" type="noConversion"/>
  </si>
  <si>
    <t>Oracle BEA Product Suite 组件 WebLogic Server 跨站脚本攻击漏洞</t>
    <phoneticPr fontId="3" type="noConversion"/>
  </si>
  <si>
    <t xml:space="preserve">BEA Product Suite(10.3, 10.0 MP1, 9.2 MP3, 9.1, 9.0, 8.1 SP6, 7.0, SP7) 组件 WebLogic Server 存在未明安全漏洞。远程攻击者可以通过未明向量影响系统的机密性、完整性和可用性，与WLS相关。说明：该漏洞是跨站脚本攻击漏洞。 </t>
    <phoneticPr fontId="3" type="noConversion"/>
  </si>
  <si>
    <t>目前厂商已经发布了升级补丁以修复这个安全问题，补丁下载链接： 
        http://www.oracle.com/technology/deploy/security/critical-patch-updates/cpujan2009.html?_template=/o</t>
    <phoneticPr fontId="3" type="noConversion"/>
  </si>
  <si>
    <t>Oracle BEA Product Suite 组件 WebLogic Server 未明安全漏洞</t>
    <phoneticPr fontId="3" type="noConversion"/>
  </si>
  <si>
    <t xml:space="preserve">BEA Product Suite(10.3, 10.2, 10.0 MP1, 9.2 MP3, 8.1 SP6) 组件 WebLogic Server 存在未明安全漏洞。远程攻击者可以通过未明向量影响系统的机密性、完整性和可用性。 </t>
    <phoneticPr fontId="3" type="noConversion"/>
  </si>
  <si>
    <t>目前厂商已经发布了升级补丁以修复这个安全问题，补丁下载链接： 
     http://www.oracle.com/technology/deploy/security/critical-patch-updates/cpujan2009.html?_template=/o</t>
    <phoneticPr fontId="3" type="noConversion"/>
  </si>
  <si>
    <t>XAMPP Default FTP Account</t>
    <phoneticPr fontId="3" type="noConversion"/>
  </si>
  <si>
    <t>XAMPP默认FTP账户</t>
    <phoneticPr fontId="3" type="noConversion"/>
  </si>
  <si>
    <t>FTP服务在配置XAMPP时使用了默认的用户名/密码（nobdy/lampp），攻击者可以利用其获取系统信息</t>
    <phoneticPr fontId="3" type="noConversion"/>
  </si>
  <si>
    <t>DameWare Mini Remote Control Server Unspecified Local Privilege Escalation</t>
    <phoneticPr fontId="3" type="noConversion"/>
  </si>
  <si>
    <t>DameWare Mini Remote Control 权限提升漏洞</t>
    <phoneticPr fontId="3" type="noConversion"/>
  </si>
  <si>
    <t xml:space="preserve">Mini Remote Control程序的4.8及更低版本中存在权限提升漏洞，以非管理员权限通过认证的用户可能在远程机器上提升权限。 </t>
    <phoneticPr fontId="3" type="noConversion"/>
  </si>
  <si>
    <t>建议升级到DameWare4.9或者更高的版本</t>
    <phoneticPr fontId="3" type="noConversion"/>
  </si>
  <si>
    <t xml:space="preserve"> BEA WebLogic &lt;= 8.1 SP4 Multiple Vulnerabilities (XSS, DoS, ID, more)</t>
    <phoneticPr fontId="3" type="noConversion"/>
  </si>
  <si>
    <t>BEA WebLogic版本低于 8.1 SP4</t>
    <phoneticPr fontId="3" type="noConversion"/>
  </si>
  <si>
    <t>远程主机运行的BEA WebLogic服务器或者WebLogic存在多个安全漏洞，这些漏洞可能导致缓冲区溢出攻击、拒绝服务攻击、跨站脚本攻击、信息泄露等</t>
    <phoneticPr fontId="3" type="noConversion"/>
  </si>
  <si>
    <t>Microsoft Windows Remote Desktop Protocol Server Man-in-the-Middle Weakness</t>
    <phoneticPr fontId="3" type="noConversion"/>
  </si>
  <si>
    <t>微软Windows远程桌面协议服务器中间人攻击漏洞</t>
    <phoneticPr fontId="3" type="noConversion"/>
  </si>
  <si>
    <t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t>
    <phoneticPr fontId="3" type="noConversion"/>
  </si>
  <si>
    <t xml:space="preserve">[1]如果支持的话，RDP使用SSL作为传输层
[2]“只允许使用网络级身份验证的电脑运行远程桌面建立连接”设置为启用
</t>
    <phoneticPr fontId="3" type="noConversion"/>
  </si>
  <si>
    <t>MS05-027: Vulnerability in SMB Could Allow Remote Code Execution (896422)</t>
    <phoneticPr fontId="3" type="noConversion"/>
  </si>
  <si>
    <t>MS05-027：SMB远程代码执行漏洞</t>
    <phoneticPr fontId="3" type="noConversion"/>
  </si>
  <si>
    <t>Microsoft SMB中存在远程缓冲区溢出漏洞，远程攻击者可以利用这个漏洞对服务器进行拒绝服务攻击或执行任意指令。</t>
    <phoneticPr fontId="3" type="noConversion"/>
  </si>
  <si>
    <t xml:space="preserve">升级补丁MS05-027
http://technet.microsoft.com/zh-cn/security/bulletin/ms05-027 </t>
    <phoneticPr fontId="3" type="noConversion"/>
  </si>
  <si>
    <t>JBoss org.jboss.web.WebServer Class Multiple Vulnerabilities (Source Disc, ID)</t>
    <phoneticPr fontId="3" type="noConversion"/>
  </si>
  <si>
    <t>JBoss org.jboss.web.WebServer 类存在多个漏洞</t>
    <phoneticPr fontId="3" type="noConversion"/>
  </si>
  <si>
    <t>远程Jboss服务存在信息泄露漏洞，攻击者可获取程序安装的物理路径、主机安全策略或者猜测程序版本号。攻击者利用这个漏洞获取更多远程配置信息。</t>
    <phoneticPr fontId="3" type="noConversion"/>
  </si>
  <si>
    <t>升级JBoss 版本到3.2.8或者4.0.3,还可以编辑JBoss'jboss-service.xml'配置文件，设置'DownloadServerClasses' 为否，然后重启服务。
http://marc.info/?l=bugtraq&amp;m=111911095424496&amp;w=2
http://www.securityfocus.com/advisories/10104</t>
    <phoneticPr fontId="3" type="noConversion"/>
  </si>
  <si>
    <t>MS05-039: Vulnerability in Plug and Play Could Allow Remote Code Execution and Elevation of Privilege (899588)</t>
    <phoneticPr fontId="3" type="noConversion"/>
  </si>
  <si>
    <t>由于MS05-039漏洞存在代码溢出缺陷，Zotob的蠕虫病毒可以利用它攻击系统，导致服务器不断重新启动，无法正常运行</t>
    <phoneticPr fontId="3" type="noConversion"/>
  </si>
  <si>
    <t xml:space="preserve">升级补丁MS05-039
http://technet.microsoft.com/zh-cn/security/bulletin/ms05-039 </t>
    <phoneticPr fontId="3" type="noConversion"/>
  </si>
  <si>
    <t>MS05-043: Vulnerability in Printer Spooler Service Could Allow Remote Code Execution (896423) (uncredentialed check)</t>
    <phoneticPr fontId="3" type="noConversion"/>
  </si>
  <si>
    <t>MS05-043:Printer Spooler 服务允许远程代码执行</t>
    <phoneticPr fontId="3" type="noConversion"/>
  </si>
  <si>
    <t>远程主机 Spooler服务运行shellcode代码远程执行。</t>
    <phoneticPr fontId="3" type="noConversion"/>
  </si>
  <si>
    <t>微软已经发布了r Windows 2000, XP and 2003.平台的相关补丁包：http://technet.microsoft.com/en-us/security/bulletin/ms05-043</t>
    <phoneticPr fontId="3" type="noConversion"/>
  </si>
  <si>
    <t>FTP服务存在全局可读目录，可造成多种非预期影响。</t>
    <phoneticPr fontId="3" type="noConversion"/>
  </si>
  <si>
    <t>设置远程FTP目录不可全局读。</t>
    <phoneticPr fontId="3" type="noConversion"/>
  </si>
  <si>
    <t>SSL 2.0协议未禁用</t>
    <phoneticPr fontId="3" type="noConversion"/>
  </si>
  <si>
    <t>远程服务使用SSL 2.0进行通信连接加密，根据公开的漏洞曝露报告，此版本的协议存在一些加密缺陷，并已废弃多年。攻击者可以利用这个漏洞发动中间人攻击或解密受此影响的客户端之间的通信内容。</t>
    <phoneticPr fontId="3" type="noConversion"/>
  </si>
  <si>
    <t>禁用SSL 2.0，使用TLS 1.0或更高版本代替</t>
    <phoneticPr fontId="3" type="noConversion"/>
  </si>
  <si>
    <t>MS05-051: Vulnerabilities in MSDTC Could Allow Remote Code Execution (902400) (uncredentialed check)</t>
    <phoneticPr fontId="3" type="noConversion"/>
  </si>
  <si>
    <t>MS05-051：MSDTC 远程代码执行漏洞</t>
    <phoneticPr fontId="3" type="noConversion"/>
  </si>
  <si>
    <t>微软分散交易协调器(Microsoft Distributed Transaction Coordinator)含有缓冲区溢位漏洞，该漏洞可让远程的攻击者传送恶意讯息后进而取得完整系统控制权</t>
    <phoneticPr fontId="3" type="noConversion"/>
  </si>
  <si>
    <t xml:space="preserve">升级补丁MS05-051
http://technet.microsoft.com/zh-cn/security/bulletin/ms05-051 </t>
    <phoneticPr fontId="3" type="noConversion"/>
  </si>
  <si>
    <t>MS06-018: Vulnerability in Microsoft Distributed Transaction Coordinator Could Allow DoS (913580) (uncredentialed check)</t>
    <phoneticPr fontId="3" type="noConversion"/>
  </si>
  <si>
    <t>MS06-018：MSDTC 拒绝服务攻击漏洞</t>
    <phoneticPr fontId="3" type="noConversion"/>
  </si>
  <si>
    <t>紧急</t>
    <phoneticPr fontId="3" type="noConversion"/>
  </si>
  <si>
    <t>Windows系统的MSDTC处理某些畸形DCE-RPC请求时存在内存分配漏洞，远程攻击者可能利用此漏洞对服务器执行拒绝服务攻击</t>
    <phoneticPr fontId="3" type="noConversion"/>
  </si>
  <si>
    <t>VNC Security Type Enforcement Failure Remote Authentication Bypass</t>
    <phoneticPr fontId="3" type="noConversion"/>
  </si>
  <si>
    <t>VNC身份绕过漏洞</t>
    <phoneticPr fontId="3" type="noConversion"/>
  </si>
  <si>
    <t xml:space="preserve">RealVNC VNC Server采用的RFB(远程帧缓冲区)协议允许客户端与服务端协商合适的认证方法，协议的实现上存在设计错误，远程攻击者可以绕过认证无需口令实现对服务器的访问。 </t>
    <phoneticPr fontId="3" type="noConversion"/>
  </si>
  <si>
    <t>1、如果使用的RealVNC，升级到RealVNC的免费版4.1.2/个人版4.2.3版/企业版4.2.3或更高版本。http://www.realvnc.com/
2、如果使用LibVNCServer，升级到0.8.2或更高版本。
http://sourceforge.net/projects/libvncserver/files/libvncserver/</t>
    <phoneticPr fontId="3" type="noConversion"/>
  </si>
  <si>
    <t>MS04-012: Cumulative Update for Microsoft RPC/DCOM (828741) (uncredentialed check)</t>
    <phoneticPr fontId="3" type="noConversion"/>
  </si>
  <si>
    <t>远程主机RPC/DCOM存在多个BUGS，攻击者可利用漏洞远程执行shellcode。</t>
    <phoneticPr fontId="3" type="noConversion"/>
  </si>
  <si>
    <t>微软已发布 Windows NT, 2000, XP and 2003平台的相关版本：http://technet.microsoft.com/en-us/security/bulletin/ms04-012</t>
    <phoneticPr fontId="3" type="noConversion"/>
  </si>
  <si>
    <t>MS06-035: Vulnerability in Server Service Could Allow Remote Code Execution (917159)</t>
    <phoneticPr fontId="3" type="noConversion"/>
  </si>
  <si>
    <t>MS06-035：Windows Server驱动Mailslot远程堆溢出漏洞</t>
    <phoneticPr fontId="3" type="noConversion"/>
  </si>
  <si>
    <t>Microsoft Windows的Mailslot通讯分为两类。第一类Mailslot是运行于SMB/TCP的连接，第二类Mailslot可通过SMB/UDP提供无连接的讯息和广播消息。 
    Windows用于处理所有SMB通讯的SRV.SYS驱动中存在漏洞。在处理第一类Mailslot消息时，可能会出现堆溢出漏洞，导致执行任意指令。</t>
    <phoneticPr fontId="3" type="noConversion"/>
  </si>
  <si>
    <t xml:space="preserve">升级补丁MS06-035
http://technet.microsoft.com/zh-cn/security/bulletin/ms06-035 </t>
    <phoneticPr fontId="3" type="noConversion"/>
  </si>
  <si>
    <t>MS06-035: Vulnerability in Server Service Could Allow Remote Code Execution (917159) (uncredentialed check)</t>
    <phoneticPr fontId="3" type="noConversion"/>
  </si>
  <si>
    <t>高</t>
    <phoneticPr fontId="3" type="noConversion"/>
  </si>
  <si>
    <t>Microsoft Windows的Mailslot通讯分为两类。第一类Mailslot是运行于SMB/TCP的连接，第二类Mailslot可通过SMB/UDP提供无连接的讯息和广播消息。 
    Windows用于处理所有SMB通讯的SRV.SYS驱动中存在漏洞。在处理第一类Mailslot消息时，可能会出现堆溢出漏洞，导致执行任意指令。</t>
    <phoneticPr fontId="3" type="noConversion"/>
  </si>
  <si>
    <t xml:space="preserve">升级补丁MS06-035
http://technet.microsoft.com/zh-cn/security/bulletin/ms06-035 </t>
    <phoneticPr fontId="3" type="noConversion"/>
  </si>
  <si>
    <t>MS06-040: Vulnerability in Server Service Could Allow Remote Code Execution (921883) (uncredentialed check)</t>
    <phoneticPr fontId="3" type="noConversion"/>
  </si>
  <si>
    <t>MS06-040：服务器服务存在远程代码执行漏洞</t>
    <phoneticPr fontId="3" type="noConversion"/>
  </si>
  <si>
    <t>MS06-040漏洞，此缓冲溢出漏洞易受攻击者执行shellcode代码而得到该主机的system权限。</t>
    <phoneticPr fontId="3" type="noConversion"/>
  </si>
  <si>
    <t>Web Server Expect Header XSS</t>
    <phoneticPr fontId="3" type="noConversion"/>
  </si>
  <si>
    <t>Web 服务器 Expect 头部 XSS</t>
    <phoneticPr fontId="3" type="noConversion"/>
  </si>
  <si>
    <t>远程web服务器容易受到跨站点脚本攻击，远程web服务器对Expect请求头内容过滤不严格，远程攻击者可以利用该问题发起跨站点脚本攻击。</t>
    <phoneticPr fontId="3" type="noConversion"/>
  </si>
  <si>
    <t>对于Apache，升级到 2.2.2版本或以上。
对于IBM HTTP Server，升级到 6.1.0.1版本或以上。
对于IBM WebSphere应用服务器，升级到 5.1.1.17或以上。</t>
    <phoneticPr fontId="3" type="noConversion"/>
  </si>
  <si>
    <t>Tomcat Sample App hello.jsp test Parameter XSS</t>
    <phoneticPr fontId="3" type="noConversion"/>
  </si>
  <si>
    <t>Apache Tomcat 示例文件 'hello.jsp' 存在跨站脚本攻击漏洞</t>
    <phoneticPr fontId="3" type="noConversion"/>
  </si>
  <si>
    <t xml:space="preserve">1）更新Tomcat 至最新版本
2）删除/sample目录下的示例文件
</t>
    <phoneticPr fontId="3" type="noConversion"/>
  </si>
  <si>
    <t>Apache &lt; 2.2.6 Multiple Vulnerabilities (DoS, XSS, Info Disc)</t>
    <phoneticPr fontId="3" type="noConversion"/>
  </si>
  <si>
    <t>Apache版本低于2.2.6，存在多个安全威胁</t>
    <phoneticPr fontId="3" type="noConversion"/>
  </si>
  <si>
    <t>Apache版本过低，可能受到拒绝服务攻击、跨站脚本攻击等多种安全威胁的攻击。</t>
    <phoneticPr fontId="3" type="noConversion"/>
  </si>
  <si>
    <t>确保受影响的模块未使用或配置，以避免存在安全问题，也可升级Apache版本至2.2.6 及以上。</t>
    <phoneticPr fontId="3" type="noConversion"/>
  </si>
  <si>
    <t>lighttpd mod_fastcgi HTTP Request Header Remote Overflow</t>
    <phoneticPr fontId="3" type="noConversion"/>
  </si>
  <si>
    <t>远程web服务显示使用 FastCGI 模块，此模块版本可能受到缓冲区溢出漏洞攻击，通过发送带有长数据包头的伪造请求，远程攻击者可利用这个问题，增加或更换数据包头并传递给PHP，例如SCRIPT_FILENAME,这可能造成任意代码执行攻击。</t>
    <phoneticPr fontId="3" type="noConversion"/>
  </si>
  <si>
    <t>禁用FastCGI模块，或者升级lighttpd版本至1.4.18及以上。</t>
    <phoneticPr fontId="3" type="noConversion"/>
  </si>
  <si>
    <t>Microsoft Windows SMB NULL Session Authentication</t>
    <phoneticPr fontId="3" type="noConversion"/>
  </si>
  <si>
    <t>SMB空会话认证漏洞</t>
    <phoneticPr fontId="3" type="noConversion"/>
  </si>
  <si>
    <t>根据主机的安全配置，匿名用户可通过SMB空会话认证访问远程主机。潜在的攻击者可通过空会话从远程主机获取大量信息，比如用户列表、服务列表、共享列表等等。这些信息有助于攻击者进行其它攻击。</t>
    <phoneticPr fontId="3" type="noConversion"/>
  </si>
  <si>
    <t xml:space="preserve">1）打开注册表，进行以下设置：
-HKLM\SYSTEM\CurrentControlSet\Control\LSA\RestrictAnonymous=1
-HKLM\SYSTEM\CurrentControlSet\Services\lanmanserver\parameters\restrictnullsessaccess=1
2）打开注册表，移除以下项：
HKLM\SYSTEM\CurrentControlSet\Services\lanmanserver\parameters\NullSessionPipes
设置完成后重启主机系统以使其生效。
</t>
    <phoneticPr fontId="3" type="noConversion"/>
  </si>
  <si>
    <t>SSL Weak Cipher Suites Supported</t>
    <phoneticPr fontId="3" type="noConversion"/>
  </si>
  <si>
    <t>SSL 允许采用弱加密组件</t>
    <phoneticPr fontId="3" type="noConversion"/>
  </si>
  <si>
    <t>重新配置可能受影响的应用程序；如果可能，避免使用弱加密。</t>
    <phoneticPr fontId="3" type="noConversion"/>
  </si>
  <si>
    <t>Apache &lt; 2.2.8 Multiple Vulnerabilities (XSS, DoS)</t>
    <phoneticPr fontId="3" type="noConversion"/>
  </si>
  <si>
    <t>Apache版本低于2.2.8，存在多个安全威胁</t>
    <phoneticPr fontId="3" type="noConversion"/>
  </si>
  <si>
    <t>确保受影响的模块未使用或配置，以避免存在安全问题，也可升级Apache版本至2.2.8及以上。</t>
    <phoneticPr fontId="3" type="noConversion"/>
  </si>
  <si>
    <t>PHP &lt; 5.2.6 Multiple Vulnerabilities</t>
    <phoneticPr fontId="3" type="noConversion"/>
  </si>
  <si>
    <t>PHP版本低于5.2.6</t>
    <phoneticPr fontId="3" type="noConversion"/>
  </si>
  <si>
    <t>PHP版本较低，可能导致多个安全漏洞威胁。</t>
    <phoneticPr fontId="3" type="noConversion"/>
  </si>
  <si>
    <t>升级PHP版本至5.2.6及以上版本。</t>
    <phoneticPr fontId="3" type="noConversion"/>
  </si>
  <si>
    <t>Multiple Vendor DNS Query ID Field Prediction Cache Poisoning</t>
    <phoneticPr fontId="3" type="noConversion"/>
  </si>
  <si>
    <t xml:space="preserve">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
</t>
    <phoneticPr fontId="3" type="noConversion"/>
  </si>
  <si>
    <t>根据相应的DNS服务提供商，在其官网下载相应补丁包。</t>
    <phoneticPr fontId="3" type="noConversion"/>
  </si>
  <si>
    <t xml:space="preserve"> Unsupported Unix Operating System</t>
    <phoneticPr fontId="3" type="noConversion"/>
  </si>
  <si>
    <t>Unix操作系统版本过低</t>
    <phoneticPr fontId="3" type="noConversion"/>
  </si>
  <si>
    <t>根据操作系统的版本，远程UNIX操作系统已经过时，厂商或供应商不再对此系统版本提供支持。</t>
    <phoneticPr fontId="3" type="noConversion"/>
  </si>
  <si>
    <t>建议更新操作系统版本。</t>
    <phoneticPr fontId="3" type="noConversion"/>
  </si>
  <si>
    <t>Default Password (db2admin) for 'db2admin' Account on Windows</t>
    <phoneticPr fontId="3" type="noConversion"/>
  </si>
  <si>
    <t>DB2默认账户密码</t>
    <phoneticPr fontId="3" type="noConversion"/>
  </si>
  <si>
    <t>windows主机上存在DB2默认账户密码db2admin（db2admin）</t>
    <phoneticPr fontId="3" type="noConversion"/>
  </si>
  <si>
    <t>建议修改默认密码</t>
    <phoneticPr fontId="3" type="noConversion"/>
  </si>
  <si>
    <t xml:space="preserve">
MS08-040: Microsoft SQL Server Multiple Privilege Escalation (941203) (uncredentialed check)
</t>
    <phoneticPr fontId="3" type="noConversion"/>
  </si>
  <si>
    <t>MS08-040：SQL Server 存在多个提权漏洞</t>
    <phoneticPr fontId="3" type="noConversion"/>
  </si>
  <si>
    <t xml:space="preserve">（1）SQL Server 管理内存页面重用的方式存在信息披露漏洞。具有数据库操作员权限并成功利用此漏洞的攻击者可以访问客户数据。
（2）SQL Server 中的转换功能存在漏洞，使经过身份验证的攻击者能够获得特权提升。成功利用此漏洞的攻击者可以运行代码并完全控制系统。
（3）SQL Server 中存在的漏洞可能允许经过身份验证的攻击者能够获得特权提升。成功利用此漏洞的攻击者可以运行代码并完全控制系统。
</t>
    <phoneticPr fontId="3" type="noConversion"/>
  </si>
  <si>
    <t xml:space="preserve">1、临时解决办法：
启用对 SQL 2005 Service Pack 2 的符合通用条件
若要启用符合通用条件，请在以管理员身份连接到 SQL Server 时执行下列脚本。 在运行脚本后，重新启动 SQL Server。
sp_configure '显示高级选项', 1;
GO
RECONFIGURE;
GO
sp_configure '已启用符合通用条件', 1;
GO
RECONFIGURE
GO
2、微软补丁：
微软已经为此发布了一个安全公告（MS08-040）以及相应补丁: http://www.microsoft.com/technet/security/Bulletin/MS08-040.mspx?pf=true
</t>
    <phoneticPr fontId="3" type="noConversion"/>
  </si>
  <si>
    <t>Unsupported Web Server Detection</t>
    <phoneticPr fontId="3" type="noConversion"/>
  </si>
  <si>
    <t>当前Web Server版本厂商已不再支持</t>
    <phoneticPr fontId="3" type="noConversion"/>
  </si>
  <si>
    <t>如果不需要此项服务，关闭它。如果可能，升级新的版本，或更换其它的Web服务器。</t>
    <phoneticPr fontId="3" type="noConversion"/>
  </si>
  <si>
    <t>MS08-067: Microsoft Windows Server Service Crafted RPC Request Handling Remote Code Execution (958644) (uncredentialed check)</t>
    <phoneticPr fontId="3" type="noConversion"/>
  </si>
  <si>
    <t>Windows 系统上的服务器服务中存在一个远程执行代码漏洞。 该漏洞是由于服务不正确地处理特制的 RPC 请求导致的。 成功利用此漏洞的攻击者可以完全控制受影响的系统</t>
    <phoneticPr fontId="3" type="noConversion"/>
  </si>
  <si>
    <t>Apache Tomcat Manager Common Administrative Credentials</t>
    <phoneticPr fontId="3" type="noConversion"/>
  </si>
  <si>
    <t>Apache Tomcat 存在默认账号密码</t>
    <phoneticPr fontId="3" type="noConversion"/>
  </si>
  <si>
    <t>远程WEB服务器管理控制台的默认账号密码未修改</t>
    <phoneticPr fontId="3" type="noConversion"/>
  </si>
  <si>
    <t>编辑相关的 'tomcat-users.xml' 文件，更改或删除默认账号。</t>
    <phoneticPr fontId="3" type="noConversion"/>
  </si>
  <si>
    <t>PHP 5 &lt; 5.2.7 Multiple Vulnerabilities</t>
    <phoneticPr fontId="3" type="noConversion"/>
  </si>
  <si>
    <t>PHP版本低于5.2.7，存在多个漏洞</t>
    <phoneticPr fontId="3" type="noConversion"/>
  </si>
  <si>
    <t>PHP版本较低，可能导致多个安全漏洞威胁。</t>
    <phoneticPr fontId="3" type="noConversion"/>
  </si>
  <si>
    <t>升级PHP版本至5.2.7及以上版本。</t>
    <phoneticPr fontId="3" type="noConversion"/>
  </si>
  <si>
    <t>PHP版本低于5.2.8，存在多个漏洞</t>
    <phoneticPr fontId="3" type="noConversion"/>
  </si>
  <si>
    <t>PHP版本较低，可能导致多个安全漏洞威胁。</t>
    <phoneticPr fontId="3" type="noConversion"/>
  </si>
  <si>
    <t>升级PHP版本至5.2.8及以上版本。</t>
    <phoneticPr fontId="3" type="noConversion"/>
  </si>
  <si>
    <t>SSL Certificate Signed using Weak Hashing Algorithm</t>
    <phoneticPr fontId="3" type="noConversion"/>
  </si>
  <si>
    <t>SSL证书签名使用弱强度的哈希算法</t>
    <phoneticPr fontId="3" type="noConversion"/>
  </si>
  <si>
    <t>远程服务器的SSL证书签名使用弱强度的哈希加密算法，例如MD2、MD4或者MD5。这些签名算法显示容易遭到破解。</t>
    <phoneticPr fontId="3" type="noConversion"/>
  </si>
  <si>
    <t>联系证书认证机构发布新的证书。
如果服务器使用自签名证书，则可自己</t>
    <phoneticPr fontId="3" type="noConversion"/>
  </si>
  <si>
    <t>Microsoft Windows SMB Vulnerabilities Remote Code Execution (958687) (uncredentialed check)</t>
    <phoneticPr fontId="3" type="noConversion"/>
  </si>
  <si>
    <t xml:space="preserve">MS09-001：Microsoft windows SMB远程代码执行威胁
</t>
    <phoneticPr fontId="3" type="noConversion"/>
  </si>
  <si>
    <t>微软厂商已发布windows2000，XP，2003，vista和2008的相关补丁包。
http://technet.microsoft.com/zh-cn/security/bulletin/ms09-001</t>
    <phoneticPr fontId="3" type="noConversion"/>
  </si>
  <si>
    <t>DNS Server Spoofed Request Amplification DDoS</t>
    <phoneticPr fontId="3" type="noConversion"/>
  </si>
  <si>
    <t>DNS 伪造请求分布式拒绝服务攻击漏洞</t>
    <phoneticPr fontId="3" type="noConversion"/>
  </si>
  <si>
    <t>域名服务器采用默认配置时，允许递归查询和提供附加代表信息给任意IP地址，从而允许远程攻击者通过带伪来源IP地址的DNS 查询，制造拒绝服务(流量放大) 。</t>
    <phoneticPr fontId="3" type="noConversion"/>
  </si>
  <si>
    <t>MS09-004: Vulnerability in Microsoft SQL Server Could Allow Remote Code Execution (959420) (uncredentialed check)</t>
    <phoneticPr fontId="3" type="noConversion"/>
  </si>
  <si>
    <t>MS09-004：Microsoft SQL Server远程代码执行漏洞</t>
    <phoneticPr fontId="3" type="noConversion"/>
  </si>
  <si>
    <t>SQL Server 在“sp_replwritetovarbin”扩展存储过程中检查参数的方式中存在一个远程执行代码漏洞。如果不受信任的用户访问受影响的系统，或者受影响的系统上存在 SQL 注入漏洞，则此漏洞可能允许远程执行代码。 成功利用此漏洞的攻击者可以完全控制受影响的系统。攻击者可随后安装程序；查看、更改或删除数据；或者创建新帐户。</t>
    <phoneticPr fontId="3" type="noConversion"/>
  </si>
  <si>
    <t>1、 临时解决办法：
拒绝 sp_replwritetovarbin 扩展存储过程的权限。
2、微软补丁：
微软已经为此发布了一个安全公告（MS09-004）以及相应补丁:
http://www.microsoft.com/technet/security/Bulletin/MS09-004.mspx?pf=true</t>
    <phoneticPr fontId="3" type="noConversion"/>
  </si>
  <si>
    <t>PHP &lt; 5.2.9 Multiple Vulnerabilities</t>
    <phoneticPr fontId="3" type="noConversion"/>
  </si>
  <si>
    <t>PHP版本低于5.2.9，可能会受到多个漏洞影响。</t>
    <phoneticPr fontId="3" type="noConversion"/>
  </si>
  <si>
    <t>升级PHP版本到5.2.9以上</t>
    <phoneticPr fontId="3" type="noConversion"/>
  </si>
  <si>
    <t>Serv-U &lt; 8.0.0.1 Multiple Vulnerabilities (DoS, Traversal)</t>
    <phoneticPr fontId="3" type="noConversion"/>
  </si>
  <si>
    <t>Serv-U 版本低于 8.0.0.1</t>
    <phoneticPr fontId="3" type="noConversion"/>
  </si>
  <si>
    <t>Serv-U版本较低，导致存在多个漏洞。</t>
    <phoneticPr fontId="3" type="noConversion"/>
  </si>
  <si>
    <t>建议升级 Serv-U 8.0.0.1或者最新版本</t>
    <phoneticPr fontId="3" type="noConversion"/>
  </si>
  <si>
    <t>Conficker Worm Detection (uncredentialed check)</t>
    <phoneticPr fontId="15" type="noConversion"/>
  </si>
  <si>
    <t>Conficker蠕虫感染</t>
    <phoneticPr fontId="3" type="noConversion"/>
  </si>
  <si>
    <t>通过扫描检测到主机可能感染了Conficker蠕虫，其将运行攻击者可以在感染主机上执行任意代码，而且蠕虫还有向其他主机扩散感染的趋势。</t>
    <phoneticPr fontId="3" type="noConversion"/>
  </si>
  <si>
    <t>安装主机防病毒软件，升级病毒软件病毒库，对主机进行全盘扫描，查杀蠕虫。</t>
    <phoneticPr fontId="3" type="noConversion"/>
  </si>
  <si>
    <t>PHP &lt; 5.2.10 Multiple Vulnerabilities</t>
    <phoneticPr fontId="3" type="noConversion"/>
  </si>
  <si>
    <t>PHP版本低于5.2.10 ，导致多个漏洞</t>
    <phoneticPr fontId="3" type="noConversion"/>
  </si>
  <si>
    <t>PHP版本低，可能会受到多个漏洞影响。</t>
    <phoneticPr fontId="3" type="noConversion"/>
  </si>
  <si>
    <t>升级PHP版本到5.2.10以上</t>
    <phoneticPr fontId="3" type="noConversion"/>
  </si>
  <si>
    <t>Apache 2.x &lt; 2.2.12 Multiple Vulnerabilities</t>
    <phoneticPr fontId="3" type="noConversion"/>
  </si>
  <si>
    <t>Apache 版本低于 2.2.12</t>
    <phoneticPr fontId="3" type="noConversion"/>
  </si>
  <si>
    <t>Apache版本较低，导致存在多处漏洞。</t>
    <phoneticPr fontId="3" type="noConversion"/>
  </si>
  <si>
    <t>升级apache版本到2.2.12以上
http://httpd.apache.org/</t>
    <phoneticPr fontId="3" type="noConversion"/>
  </si>
  <si>
    <t xml:space="preserve"> Vulnerabilities in WINS Could Allow Remote Code Execution (969883) (uncredentialed check)</t>
    <phoneticPr fontId="3" type="noConversion"/>
  </si>
  <si>
    <t xml:space="preserve">MS09-039：WINS服务允许远程代码执行
</t>
    <phoneticPr fontId="3" type="noConversion"/>
  </si>
  <si>
    <t>远程主机运行通过wins服务执行shellcode。</t>
    <phoneticPr fontId="3" type="noConversion"/>
  </si>
  <si>
    <t>Microsoft已经为此发布了windows 2000及2003平台的相应补丁。
相关链接：
http://technet.microsoft.com/en-us/security/bulletin/MS09-039</t>
    <phoneticPr fontId="3" type="noConversion"/>
  </si>
  <si>
    <t>PHP &lt; 5.2.11 Multiple Vulnerabilities</t>
    <phoneticPr fontId="3" type="noConversion"/>
  </si>
  <si>
    <t xml:space="preserve">PHP版本低于5.2.11 </t>
    <phoneticPr fontId="3" type="noConversion"/>
  </si>
  <si>
    <t>Apache版本低，可能会受到多个漏洞影响。</t>
    <phoneticPr fontId="3" type="noConversion"/>
  </si>
  <si>
    <t>升级PHP版本到5.2.11以上</t>
    <phoneticPr fontId="3" type="noConversion"/>
  </si>
  <si>
    <t>SNMP Agent Default Community Name (public)</t>
    <phoneticPr fontId="3" type="noConversion"/>
  </si>
  <si>
    <t>SNMP服务使用了默认的团体名（public）,攻击者可以利用此缺陷获得更多对于该服务的敏感信息。</t>
    <phoneticPr fontId="3" type="noConversion"/>
  </si>
  <si>
    <t>linux下：修改SNMP服务的团体名public
方法：vi /etc/snmp/snmpd.conf 里找到com2sec notConfigUser default public 直接修改public名即可。
最后重启SNMP服务
windows下：运行”services.msc” 找到snmp服务项，属性里直接修改</t>
    <phoneticPr fontId="3" type="noConversion"/>
  </si>
  <si>
    <t>Serv-U 版本低于 9.0.0.1</t>
    <phoneticPr fontId="3" type="noConversion"/>
  </si>
  <si>
    <t>建议升级 Serv-U 9.0.0.1或者最新版本</t>
    <phoneticPr fontId="3" type="noConversion"/>
  </si>
  <si>
    <t>Apache 2.2 &lt; 2.2.14 Multiple Vulnerabilities</t>
    <phoneticPr fontId="3" type="noConversion"/>
  </si>
  <si>
    <t>Apache版本低于2.2.14</t>
    <phoneticPr fontId="3" type="noConversion"/>
  </si>
  <si>
    <t>升级apache版本到2.2.29以上
http://httpd.apache.org/</t>
    <phoneticPr fontId="3" type="noConversion"/>
  </si>
  <si>
    <t>SSL证书NULL字符欺骗漏洞</t>
    <phoneticPr fontId="3" type="noConversion"/>
  </si>
  <si>
    <t>重新生成SSL证书，相关链接：
http://thoughtcrime.org/papers/null-prefix-attacks.pdf</t>
    <phoneticPr fontId="3" type="noConversion"/>
  </si>
  <si>
    <t>MS09-050: Vulnerabilities in SMBv2 Could Allow Remote Code Execution</t>
    <phoneticPr fontId="3" type="noConversion"/>
  </si>
  <si>
    <t>MS09-050：SMBv2远程代码执行漏洞</t>
    <phoneticPr fontId="3" type="noConversion"/>
  </si>
  <si>
    <t>Windows系统捆绑了新版的SMB2协议实现，SRV2.SYS驱动没有正确地处理包含畸形SMB头结构数据的NEGOTIATE PROTOCOL REQUEST请求，如果远程攻击者在发送的SMB报文的Process Id High头字段中包含有畸形数据的话，就会在_Smb2ValidateProviderCallback()函数中触发越界内存引用，可能导致执行任意指令或导致系统蓝屏死机</t>
    <phoneticPr fontId="3" type="noConversion"/>
  </si>
  <si>
    <t>升级补丁MS09-050
http://technet.microsoft.com/zh-CN/security/bulletin/ms09-050</t>
    <phoneticPr fontId="3" type="noConversion"/>
  </si>
  <si>
    <t>SSL Medium Strength Cipher Suites Supported</t>
    <phoneticPr fontId="3" type="noConversion"/>
  </si>
  <si>
    <t>允许SSL采用中强度加密</t>
    <phoneticPr fontId="3" type="noConversion"/>
  </si>
  <si>
    <t>重新设置受影响的应用程序，可能的话，避免使用中强度加密，改为强度较高的加密算法。</t>
    <phoneticPr fontId="3" type="noConversion"/>
  </si>
  <si>
    <t>SSL / TLS Renegotiation Handshakes MiTM Plaintext Data Injection</t>
    <phoneticPr fontId="3" type="noConversion"/>
  </si>
  <si>
    <t>SSL/TLS握手过程中间人明文注入攻击</t>
    <phoneticPr fontId="3" type="noConversion"/>
  </si>
  <si>
    <t>在SSL/TLS握手协议连接过程中，数据通信过程采用明文数据，这可能遭受中间人攻击，攻击者通过篡改明文数据，实现伪装。</t>
    <phoneticPr fontId="3" type="noConversion"/>
  </si>
  <si>
    <t>联系厂商获取相关补丁包。
http://www.ietf.org/mail-archive/web/tls/current/msg03948.html
http://www.g-sec.lu/practicaltls.pdf
http://tools.ietf.org/html/rfc5746</t>
    <phoneticPr fontId="3" type="noConversion"/>
  </si>
  <si>
    <t>Serv-U &lt; 9.1.0.0</t>
    <phoneticPr fontId="3" type="noConversion"/>
  </si>
  <si>
    <t>Serv-U版本低于9.1.0.0</t>
    <phoneticPr fontId="3" type="noConversion"/>
  </si>
  <si>
    <t xml:space="preserve">建议升级到Serv-U14.0.2.0或者以上的版本
http://www.serv-u.com/ 
</t>
    <phoneticPr fontId="3" type="noConversion"/>
  </si>
  <si>
    <t>NTP ntpd Mode 7 Error Response Packet Loop Remote DoS</t>
    <phoneticPr fontId="3" type="noConversion"/>
  </si>
  <si>
    <t>NTP Mode 7 (MODE_PRIVATE)报文远程拒绝服务漏洞</t>
    <phoneticPr fontId="3" type="noConversion"/>
  </si>
  <si>
    <t>NTP (Network Time Protocol)是一款客户端用于与时间服务器同步日期和时间的协议。
NTP处理mode 7请求存在错误，远程攻击者可以利用漏洞对应用程序进行拒绝服务攻击。</t>
    <phoneticPr fontId="3" type="noConversion"/>
  </si>
  <si>
    <t>建议升级NTP到 NTP 4.2.4p8 / 4.2.6或者最新版本
http://www.ntp.org/downloads.html</t>
    <phoneticPr fontId="3" type="noConversion"/>
  </si>
  <si>
    <t>PHP版本低导致多个漏洞</t>
    <phoneticPr fontId="3" type="noConversion"/>
  </si>
  <si>
    <t>升级PHP版本到5.2.12以上</t>
    <phoneticPr fontId="3" type="noConversion"/>
  </si>
  <si>
    <t>MS10-012: Vulnerabilities in SMB Could Allow Remote Code Execution</t>
    <phoneticPr fontId="3" type="noConversion"/>
  </si>
  <si>
    <t>Microsoft SMB协议软件没有正确的处理在协商期间解析SMB报文时可能出现的竞争条件，未经认证的攻击者可以通过向运行Server服务的计算机发送特制网络消息来利用该漏洞，导致受影响系统停止响应，直至手动重新启动</t>
    <phoneticPr fontId="3" type="noConversion"/>
  </si>
  <si>
    <t>升级补丁ms10-012
http://technet.microsoft.com/zh-CN/security/bulletin/ms10-012</t>
    <phoneticPr fontId="3" type="noConversion"/>
  </si>
  <si>
    <t>PHP &lt; 5.3.2 / 5.2.13 Multiple Vulnerabilities</t>
    <phoneticPr fontId="3" type="noConversion"/>
  </si>
  <si>
    <t>PHP版本低于5.3.2 / 5.2.13</t>
    <phoneticPr fontId="3" type="noConversion"/>
  </si>
  <si>
    <t>Apache版本低，可能会受到多个漏洞影响。</t>
    <phoneticPr fontId="3" type="noConversion"/>
  </si>
  <si>
    <t>升级PHP版本到5.3.2以上</t>
    <phoneticPr fontId="3" type="noConversion"/>
  </si>
  <si>
    <t>Apache 2.2 &lt; 2.2.15 Multiple Vulnerabilities</t>
    <phoneticPr fontId="3" type="noConversion"/>
  </si>
  <si>
    <t>Apache版本低于2.2.15</t>
    <phoneticPr fontId="3" type="noConversion"/>
  </si>
  <si>
    <t>Apache版本低，可能会受到多个漏洞影响。</t>
    <phoneticPr fontId="3" type="noConversion"/>
  </si>
  <si>
    <t>升级apache版本到2.2.15以上
http://httpd.apache.org/</t>
    <phoneticPr fontId="3" type="noConversion"/>
  </si>
  <si>
    <t>SSL Certificate with Wrong Hostname</t>
    <phoneticPr fontId="3" type="noConversion"/>
  </si>
  <si>
    <t>SSL证书主机名不匹配</t>
    <phoneticPr fontId="3" type="noConversion"/>
  </si>
  <si>
    <t>SSL现有认证的commonName (CN)是供其它主机使用的。</t>
    <phoneticPr fontId="3" type="noConversion"/>
  </si>
  <si>
    <t>为此项服务购买或生产一个合适的证书</t>
    <phoneticPr fontId="3" type="noConversion"/>
  </si>
  <si>
    <t xml:space="preserve"> MS10-024: Vulnerabilities in Microsoft Exchange and Windows SMTP Service Could Allow Denial of Service (981832) (uncredentialed check)</t>
    <phoneticPr fontId="3" type="noConversion"/>
  </si>
  <si>
    <t>MS10-024：Microsoft Exchange 和 Windows SMTP 拒绝服务攻击漏洞</t>
    <phoneticPr fontId="3" type="noConversion"/>
  </si>
  <si>
    <t>Microsoft Exchange 和 Windows SMTP 服务中存在两个安全漏洞。 如果攻击者将特制的 DNS 响应发送到运行 SMTP 服务的计算机，可能导致拒绝服务。</t>
    <phoneticPr fontId="3" type="noConversion"/>
  </si>
  <si>
    <t>微软已经为此发布了一个安全公告（MS10-024）以及相应补丁:
http://www.microsoft.com/technet/security/Bulletin/MS10-024.mspx?pf=true</t>
    <phoneticPr fontId="3" type="noConversion"/>
  </si>
  <si>
    <t>HP Mercury LoadRunner Agent Remote Command Execution</t>
    <phoneticPr fontId="3" type="noConversion"/>
  </si>
  <si>
    <t>HP LoadRunner Agent远程代码执行漏洞</t>
    <phoneticPr fontId="3" type="noConversion"/>
  </si>
  <si>
    <t>低版本HP LoadRunner Agent存在magentproc.exe服务引起的执行任意代码漏洞；各server_ip_name引起的缓冲区溢出漏洞</t>
    <phoneticPr fontId="3" type="noConversion"/>
  </si>
  <si>
    <t>升级到HP LoadRunner v9.50版本以上更高版本， 并开启'Secure Channel' 通信</t>
    <phoneticPr fontId="3" type="noConversion"/>
  </si>
  <si>
    <t>Microsoft Windows 2000 Unsupported Installation Detection</t>
    <phoneticPr fontId="3" type="noConversion"/>
  </si>
  <si>
    <t>微软不支持该操作系统，这意味着微软不仅不提供新的安全补丁包，也不提供相关威胁报告。</t>
    <phoneticPr fontId="3" type="noConversion"/>
  </si>
  <si>
    <t>升级该主机操作系统</t>
    <phoneticPr fontId="3" type="noConversion"/>
  </si>
  <si>
    <t>Apache 2.2 &lt; 2.2.16 Multiple Vulnerabilities</t>
    <phoneticPr fontId="3" type="noConversion"/>
  </si>
  <si>
    <t>Apache版本低于2.2.16</t>
    <phoneticPr fontId="3" type="noConversion"/>
  </si>
  <si>
    <t>升级apache版本到2.2.16以上
http://httpd.apache.org/</t>
    <phoneticPr fontId="3" type="noConversion"/>
  </si>
  <si>
    <t>PHP 5.2 &lt; 5.2.14 Multiple Vulnerabilities</t>
    <phoneticPr fontId="3" type="noConversion"/>
  </si>
  <si>
    <t xml:space="preserve">PHP版本低于5.2.14 </t>
    <phoneticPr fontId="3" type="noConversion"/>
  </si>
  <si>
    <t>升级PHP版本到5.2.14以上</t>
    <phoneticPr fontId="3" type="noConversion"/>
  </si>
  <si>
    <t>MS10-054: Vulnerabilities in SMB Server Could Allow Remote Code Execution (982214)</t>
    <phoneticPr fontId="3" type="noConversion"/>
  </si>
  <si>
    <t>MS10-054：SMB远程代码执行漏洞</t>
    <phoneticPr fontId="3" type="noConversion"/>
  </si>
  <si>
    <t>Microsoft SMB协议软件处理特制SMB报文的方式存在缓冲区溢出、变量验证和栈耗尽漏洞。利用这些漏洞不要求进行认证，攻击者可以通过向运行Server服务的计算机发送特制网络消息来利用这些漏洞，导致拒绝服务或完全入侵系统</t>
    <phoneticPr fontId="3" type="noConversion"/>
  </si>
  <si>
    <t>升级补丁MS10-054
http://technet.microsoft.com/zh-CN/security/bulletin/ms10-054</t>
    <phoneticPr fontId="3" type="noConversion"/>
  </si>
  <si>
    <t>Serv-U &lt; 10.2.0.0</t>
    <phoneticPr fontId="3" type="noConversion"/>
  </si>
  <si>
    <t>Serv-U 版本低于 10.2.0.0</t>
    <phoneticPr fontId="3" type="noConversion"/>
  </si>
  <si>
    <t>Serv-U版本较低，导致存在多个漏洞。</t>
    <phoneticPr fontId="3" type="noConversion"/>
  </si>
  <si>
    <t>建议升级 Serv-U 10.2.0.0或者最新版本</t>
    <phoneticPr fontId="3" type="noConversion"/>
  </si>
  <si>
    <t>MS10-061: Vulnerability in Print Spooler Service Could Allow Remote Code Execution (2347290)</t>
    <phoneticPr fontId="3" type="noConversion"/>
  </si>
  <si>
    <t>MS10-061：Windows Print Spooler服务输入验证漏洞</t>
    <phoneticPr fontId="3" type="noConversion"/>
  </si>
  <si>
    <t>打印后台程序服务中一个公开披露的漏洞。 如果攻击者将特制打印请求发送到通过 RPC 暴露打印后台程序接口的易受攻击系统，该漏洞可以允许远程执行代码。</t>
    <phoneticPr fontId="3" type="noConversion"/>
  </si>
  <si>
    <t>目前厂商已经发布了升级补丁以修复此安全问题，补丁获取链接： 
http://technet.microsoft.com/zh-CN/security/bulletin/ms10-061</t>
    <phoneticPr fontId="3" type="noConversion"/>
  </si>
  <si>
    <t>Apache 2.2 &lt; 2.2.17 Multiple Vulnerabilities</t>
    <phoneticPr fontId="3" type="noConversion"/>
  </si>
  <si>
    <t>Apache版本较低于2.2.17</t>
    <phoneticPr fontId="3" type="noConversion"/>
  </si>
  <si>
    <t>升级apache版本到2.2.17以上
http://httpd.apache.org/</t>
    <phoneticPr fontId="3" type="noConversion"/>
  </si>
  <si>
    <t>PHP 5.2 &lt; 5.2.15 Multiple Vulnerabilities</t>
    <phoneticPr fontId="3" type="noConversion"/>
  </si>
  <si>
    <t xml:space="preserve">PHP版本低于5.2.15 </t>
    <phoneticPr fontId="3" type="noConversion"/>
  </si>
  <si>
    <t>升级PHP版本到5.2.15以上</t>
    <phoneticPr fontId="3" type="noConversion"/>
  </si>
  <si>
    <t xml:space="preserve"> SSL Certificate Cannot Be Trusted</t>
    <phoneticPr fontId="3" type="noConversion"/>
  </si>
  <si>
    <t>SSL证书不被信任</t>
    <phoneticPr fontId="3" type="noConversion"/>
  </si>
  <si>
    <t>此项服务的SSL证书不被信任。</t>
    <phoneticPr fontId="3" type="noConversion"/>
  </si>
  <si>
    <t>为此项服务购买或生成合适的证书</t>
    <phoneticPr fontId="3" type="noConversion"/>
  </si>
  <si>
    <t>PHP 5.2 &lt; 5.2.17 / 5.3 &lt; 5.3.5 String To Double Conversion DoS</t>
    <phoneticPr fontId="3" type="noConversion"/>
  </si>
  <si>
    <t>PHP 版本低于5.2.17 / 5.3 &lt; 5.3.5 拒绝服务攻击漏洞</t>
    <phoneticPr fontId="3" type="noConversion"/>
  </si>
  <si>
    <t>PHP版本低于5.2.17或低于5.3.5，这可能受到拒绝服务攻击。</t>
    <phoneticPr fontId="3" type="noConversion"/>
  </si>
  <si>
    <t>升级PHP版本至5.3.5及以上版本。</t>
    <phoneticPr fontId="3" type="noConversion"/>
  </si>
  <si>
    <t>SMTP Service STARTTLS Plaintext Command Injection</t>
    <phoneticPr fontId="3" type="noConversion"/>
  </si>
  <si>
    <t>SMTP服务STARTTLS明文命令注入</t>
    <phoneticPr fontId="3" type="noConversion"/>
  </si>
  <si>
    <t>远程邮件服务在协商加密通信隧道时，允许明文命令注入，这允许远程未认证的的攻击者在明文协议阶段注入命令，使其在密文协议阶段执行。</t>
    <phoneticPr fontId="3" type="noConversion"/>
  </si>
  <si>
    <t>联系厂商获取相关补丁包。
http://tools.ietf.org/html/rfc2487
http://www.securityfocus.com/archive/1/516901/30/0/threaded</t>
    <phoneticPr fontId="3" type="noConversion"/>
  </si>
  <si>
    <t>MS11-020: Vulnerability in SMB Server Could Allow Remote Code Execution (2508429)</t>
    <phoneticPr fontId="3" type="noConversion"/>
  </si>
  <si>
    <t>MS11-020：SMB远程代码执行漏洞</t>
    <phoneticPr fontId="3" type="noConversion"/>
  </si>
  <si>
    <t>Microsoft Server Message Block (SMB)协议软件处理特制SMB报文时存在未验证远程代码执行漏洞。无需验证即可利用此漏洞，攻击者通过发送特制的SMB报文到运行服务器服务的计算机利用此漏洞。成功利用此漏洞可完全控制受影响系统</t>
    <phoneticPr fontId="3" type="noConversion"/>
  </si>
  <si>
    <t>目前厂商已经发布了升级补丁以修复此安全问题，补丁获取链接： 
http://technet.microsoft.com/zh-CN/security/bulletin/ms11-020</t>
    <phoneticPr fontId="3" type="noConversion"/>
  </si>
  <si>
    <t>MS11-030：DNS 解析远程代码执行漏洞</t>
    <phoneticPr fontId="3" type="noConversion"/>
  </si>
  <si>
    <t>Windows DNS 解析中存在漏洞。如果攻击者获得网络访问权限，然后创建一个自定义程序以将特制的 LLMNR 广播查询发送到目标系统，则该漏洞可能允许远程执行代码。</t>
    <phoneticPr fontId="3" type="noConversion"/>
  </si>
  <si>
    <t xml:space="preserve">目前厂商已经发布了升级补丁以修复此安全问题，补丁获取链接： 
http://technet.microsoft.com/zh-CN/security/bulletin/ms11-030 </t>
    <phoneticPr fontId="3" type="noConversion"/>
  </si>
  <si>
    <t xml:space="preserve"> MS11-030: Vulnerability in DNS Resolution Could Allow Remote Code Execution (2509553) (remote check)</t>
    <phoneticPr fontId="3" type="noConversion"/>
  </si>
  <si>
    <t>Apache 2.2 &lt; 2.2.18 APR apr_fnmatch DoS</t>
    <phoneticPr fontId="3" type="noConversion"/>
  </si>
  <si>
    <t>Apache版本低于2.2.18</t>
    <phoneticPr fontId="3" type="noConversion"/>
  </si>
  <si>
    <t>Apache版本较低，由于发生在 'apr_fnmatch'函数的错误，可能会受到DOS攻击。</t>
    <phoneticPr fontId="3" type="noConversion"/>
  </si>
  <si>
    <t>确保 'IndexOptions' 设置选项设置为 'IgnoreClient'，或者升级Apache版本至2.2.18及以上。</t>
    <phoneticPr fontId="3" type="noConversion"/>
  </si>
  <si>
    <t>MS11-035: Vulnerability in WINS Could Allow Remote Code Execution (2524426) (uncredentialed check)</t>
    <phoneticPr fontId="3" type="noConversion"/>
  </si>
  <si>
    <t>MS11-035: WINS服务允许远程代码执行漏洞</t>
    <phoneticPr fontId="3" type="noConversion"/>
  </si>
  <si>
    <t>主机wins服务可远程执行shellcode代码。</t>
    <phoneticPr fontId="3" type="noConversion"/>
  </si>
  <si>
    <t>MS11-048: Vulnerability in SMB Server Could Allow Denial of Service (2536275)</t>
    <phoneticPr fontId="3" type="noConversion"/>
  </si>
  <si>
    <t>MS11-048：SMB 拒绝服务漏洞</t>
    <phoneticPr fontId="3" type="noConversion"/>
  </si>
  <si>
    <t>当攻击者向存在该漏洞的系统发送特制的 SMB 数据包后，漏洞系统会产生拒绝服务现象。</t>
    <phoneticPr fontId="3" type="noConversion"/>
  </si>
  <si>
    <t>目前厂商已经发布了升级补丁以修复此安全问题，补丁获取链接： 
https://technet.microsoft.com/library/security/ms11-048</t>
    <phoneticPr fontId="3" type="noConversion"/>
  </si>
  <si>
    <t xml:space="preserve"> Oracle Database Unsupported</t>
    <phoneticPr fontId="3" type="noConversion"/>
  </si>
  <si>
    <t>当前ORACLE数据库版本厂商已不支持</t>
    <phoneticPr fontId="3" type="noConversion"/>
  </si>
  <si>
    <t>根据远程主机安装的数据库版本，厂家已不再支持，将会缺少安全补丁包，因此，可能存在安全威胁。</t>
    <phoneticPr fontId="3" type="noConversion"/>
  </si>
  <si>
    <t xml:space="preserve">升级数据库版本至当前最新版本，至少升级至厂家支持的版本。
</t>
    <phoneticPr fontId="3" type="noConversion"/>
  </si>
  <si>
    <t>Apache HTTP Server Byte Range DoS</t>
    <phoneticPr fontId="3" type="noConversion"/>
  </si>
  <si>
    <t>Apache HTTP Server拒绝服务漏洞</t>
    <phoneticPr fontId="3" type="noConversion"/>
  </si>
  <si>
    <t>当处理包含大量Ranges头的HTTP请求时，ByteRange过滤器存在一个错误，攻击者可以向服务器发送特制HTTP请求，消耗大量内存，造成应用程序崩溃。</t>
    <phoneticPr fontId="3" type="noConversion"/>
  </si>
  <si>
    <t>目前厂商已经发布了升级补丁以修复此安全问题，补丁获取链接： 
 https://issues.apache.org/bugzilla/show_bug.cgi?id=51714</t>
    <phoneticPr fontId="3" type="noConversion"/>
  </si>
  <si>
    <t>Microsoft Windows SMB LsaQueryInformationPolicy Function SID Enumeration Without Credentials</t>
    <phoneticPr fontId="3" type="noConversion"/>
  </si>
  <si>
    <t>Microsoft Windows SMB LsaQueryInformationPolicy 函数 SID枚举漏洞</t>
    <phoneticPr fontId="3" type="noConversion"/>
  </si>
  <si>
    <t>通过模拟调用 LsaQueryInformationPolicy()，无需通过认证即可获取目标主机 SID (Security Identifier)，通过SID能得获取系统用户列表。</t>
    <phoneticPr fontId="3" type="noConversion"/>
  </si>
  <si>
    <t xml:space="preserve">打开注册表，进行以下设置：
-HKLM\SYSTEM\CurrentControlSet\Control\LSA\RestrictAnonymous=1
</t>
    <phoneticPr fontId="3" type="noConversion"/>
  </si>
  <si>
    <t>Apache 2.2 &lt; 2.2.21 mod_proxy_ajp DoS</t>
    <phoneticPr fontId="3" type="noConversion"/>
  </si>
  <si>
    <t>Apache版本低于2.2.21 导致mod_proxy_ajp 漏洞</t>
    <phoneticPr fontId="3" type="noConversion"/>
  </si>
  <si>
    <t>升级Apache版本至2.2.21及以上。</t>
    <phoneticPr fontId="3" type="noConversion"/>
  </si>
  <si>
    <t>PHP &lt; 5.3.9 Multiple Vulnerabilities</t>
    <phoneticPr fontId="3" type="noConversion"/>
  </si>
  <si>
    <t>PHP版本低于5.3.9 导致多个漏洞</t>
    <phoneticPr fontId="3" type="noConversion"/>
  </si>
  <si>
    <t>升级PHP版本到5.3.9以上</t>
    <phoneticPr fontId="3" type="noConversion"/>
  </si>
  <si>
    <t>SSL Self-Signed Certificate</t>
    <phoneticPr fontId="3" type="noConversion"/>
  </si>
  <si>
    <t>SSL自签名证书</t>
    <phoneticPr fontId="3" type="noConversion"/>
  </si>
  <si>
    <t>服务器所使用的X.509签署的证书链不是权威的证书颁发机构所颁发的。这削弱了使用SSL的效果，因为任何人都可以建立一个中间人攻击远程主机。</t>
    <phoneticPr fontId="3" type="noConversion"/>
  </si>
  <si>
    <t>购买或者生成被认可的证书</t>
    <phoneticPr fontId="3" type="noConversion"/>
  </si>
  <si>
    <t>Apache 2.2 &lt; 2.2.13 APR apr_palloc Heap Overflow</t>
    <phoneticPr fontId="3" type="noConversion"/>
  </si>
  <si>
    <t>Apache版本于2.2.13导致“apr_palloc”缓冲区溢出漏洞</t>
    <phoneticPr fontId="3" type="noConversion"/>
  </si>
  <si>
    <t>Apache版本低，可能会受到“apr_palloc”缓冲区溢出漏洞攻击。</t>
    <phoneticPr fontId="3" type="noConversion"/>
  </si>
  <si>
    <t>升级apache版本到2.2.13以上
http://httpd.apache.org/security/vulnerabilities_22.html</t>
    <phoneticPr fontId="3" type="noConversion"/>
  </si>
  <si>
    <t xml:space="preserve">
SMB Signing Required
</t>
    <phoneticPr fontId="3" type="noConversion"/>
  </si>
  <si>
    <t>SMB数字签名通信禁用</t>
    <phoneticPr fontId="3" type="noConversion"/>
  </si>
  <si>
    <t>SMB 协议为 Microsoft 文件和打印共享以及许多其他网络操作（例如远程 Windows 管理）提供基础。为了防止在传输过程中修改 SMB 数据包的拦截攻击，SMB 协议支持对 SMB 数据包的数字签名。
    主机禁用了SMB数字签名通信，这可能导致潜在攻击者针对SMB通信服务进行中间人攻击。</t>
    <phoneticPr fontId="3" type="noConversion"/>
  </si>
  <si>
    <t>在本地策略中--安全选项设置如下：
Microsoft 网络客户端：对通信进行数字签名（若服务器同意）（启用）
Microsoft 网络服务器：对通信进行数字签名（若客户同意）（启用）</t>
    <phoneticPr fontId="3" type="noConversion"/>
  </si>
  <si>
    <t>Terminal Services Encryption Level is Medium or Low</t>
    <phoneticPr fontId="3" type="noConversion"/>
  </si>
  <si>
    <t>终端服务加密级别是中等或低</t>
    <phoneticPr fontId="3" type="noConversion"/>
  </si>
  <si>
    <t>远程终端服务加密级别不够强，会降低攻击者窃听通信（包含获取截图和键盘记录）的难度。</t>
    <phoneticPr fontId="3" type="noConversion"/>
  </si>
  <si>
    <t>组策略--计算机配置--管理模板--远程桌面服务--设置客户端连接加密级别：
修改RDP加密级别为“高”或者“FIPS兼容”</t>
    <phoneticPr fontId="3" type="noConversion"/>
  </si>
  <si>
    <t>Apache 2.2 &lt; 2.2.22 Multiple Vulnerabilities</t>
    <phoneticPr fontId="3" type="noConversion"/>
  </si>
  <si>
    <t>Apache版本低于2.2.22</t>
    <phoneticPr fontId="3" type="noConversion"/>
  </si>
  <si>
    <t>升级apache版本到2.2.22以上
http://httpd.apache.org/</t>
    <phoneticPr fontId="3" type="noConversion"/>
  </si>
  <si>
    <t>Apache HTTP Server httpOnly Cookie Information Disclosure</t>
    <phoneticPr fontId="3" type="noConversion"/>
  </si>
  <si>
    <t>Apache HTTP Server 2.2.x多个版本没有正确严格限制HTTP请求头信息，HTTP请求头信息超过LimitRequestFieldSize长度时服务器返回 400（Bad Request）错误，并在返回信息中将出错请求头内容爆出，攻击者可以利用该漏洞获取httponly cookies。</t>
    <phoneticPr fontId="3" type="noConversion"/>
  </si>
  <si>
    <t xml:space="preserve">升级apache版本到2.2.29以上
http://httpd.apache.org/ </t>
    <phoneticPr fontId="3" type="noConversion"/>
  </si>
  <si>
    <t xml:space="preserve">MS12-020:  Vulnerabilities in Remote Desktop Could Allow Remote Code Execution </t>
    <phoneticPr fontId="3" type="noConversion"/>
  </si>
  <si>
    <t>MS12-020: Microsoft远程桌面协议RDP远程代码执行漏洞</t>
    <phoneticPr fontId="3" type="noConversion"/>
  </si>
  <si>
    <t xml:space="preserve">  远程桌面协议（RDP, Remote Desktop Protocol）是一个多通道（multi-channel）的协议，让用户（客户端或称“本地电脑”）连上提供微软终端机服务的电脑（服务器端或称“远程电脑”）。
   Windows在处理某些对象时存在错误，可通过特制的RDP报文访问未初始化的或已经删除的对象，导致任意代码执行，然后控制系统。</t>
    <phoneticPr fontId="3" type="noConversion"/>
  </si>
  <si>
    <t>Microsoft已经为此发布了一个安全公告（MS12-020）以及相应补丁:
链接：
http://technet.microsoft.com/zh-cn/security/bulletin/ms12-020</t>
    <phoneticPr fontId="3" type="noConversion"/>
  </si>
  <si>
    <t>Terminal Services Doesn't Use Network Level Authentication</t>
    <phoneticPr fontId="3" type="noConversion"/>
  </si>
  <si>
    <t>终端服务未使用网络级别身份验证(NLA)</t>
    <phoneticPr fontId="3" type="noConversion"/>
  </si>
  <si>
    <t>远程终端服务未配置采用网络级别身份验证(NLA)。NLA使用凭据安全支持提供者(CredSSP)协议通过TLS/ SSL或Kerberos机制来执行强大的服务器身份验证，这能有效防止中间人攻击。除了优化认证,NLA也有助于防止恶意用户在一个完整的RDP连接建立之前，完成用户身份验证。</t>
    <phoneticPr fontId="3" type="noConversion"/>
  </si>
  <si>
    <t>在“系统”设置的“远程”选项卡--
启用网络级身份验证(NLA)
注意：如果客户端不支持“网络级身份验证”，将无法连接服务器远程管理服务。远程管理客户端版本需大于等于6.0</t>
    <phoneticPr fontId="3" type="noConversion"/>
  </si>
  <si>
    <t>PHP &lt; 5.3.11 Multiple Vulnerabilities</t>
    <phoneticPr fontId="3" type="noConversion"/>
  </si>
  <si>
    <t>PHP版本低于5.3.11导致多个漏洞</t>
    <phoneticPr fontId="3" type="noConversion"/>
  </si>
  <si>
    <t>升级PHP版本到5.3.11以上</t>
    <phoneticPr fontId="3" type="noConversion"/>
  </si>
  <si>
    <t>PHP 5.4.x &lt; 5.4.1 Multiple Vulnerabilities</t>
    <phoneticPr fontId="3" type="noConversion"/>
  </si>
  <si>
    <t>PHP 版本5.4.x 低于 5.4.1</t>
    <phoneticPr fontId="3" type="noConversion"/>
  </si>
  <si>
    <t>PHP版本较低，导致存在多个漏洞。</t>
    <phoneticPr fontId="3" type="noConversion"/>
  </si>
  <si>
    <t>建议升级 PHP 5.4.1或者最新版本</t>
    <phoneticPr fontId="3" type="noConversion"/>
  </si>
  <si>
    <t>当前PHP版本厂商已不支持</t>
    <phoneticPr fontId="3" type="noConversion"/>
  </si>
  <si>
    <t>根据现有版本，远程主机安装的PHP版本不再被厂商支持，意味着不再发布相关的安全补丁包，结果可能存在多个安全漏洞。</t>
    <phoneticPr fontId="3" type="noConversion"/>
  </si>
  <si>
    <t>升级至当前的支持版本
http://php.net/eol.php
https://wiki.php.net/rfc/releaseprocess</t>
    <phoneticPr fontId="3" type="noConversion"/>
  </si>
  <si>
    <t>PHP &lt; 5.3.12 / 5.4.2 CGI Query String Code Execution</t>
    <phoneticPr fontId="3" type="noConversion"/>
  </si>
  <si>
    <t>PHP版本低于5.3.12 / 5.4.2导致CGI查询语句代码执行漏洞</t>
    <phoneticPr fontId="3" type="noConversion"/>
  </si>
  <si>
    <t>PHP版本较低，可能导致CGI查询语句代码执行漏洞。</t>
    <phoneticPr fontId="3" type="noConversion"/>
  </si>
  <si>
    <t xml:space="preserve">升级PHP版本到5.4.2以上
http://httpd.apache.org/ </t>
    <phoneticPr fontId="3" type="noConversion"/>
  </si>
  <si>
    <t>PHP 5.4.x &lt; 5.4.3 Multiple Vulnerabilities</t>
    <phoneticPr fontId="3" type="noConversion"/>
  </si>
  <si>
    <t>PHP 版本5.4.x 低于 5.4.3</t>
    <phoneticPr fontId="3" type="noConversion"/>
  </si>
  <si>
    <t>PHP版本较低，导致存在多个漏洞。</t>
    <phoneticPr fontId="3" type="noConversion"/>
  </si>
  <si>
    <t>建议升级 PHP 5.4.3或者最新版本</t>
    <phoneticPr fontId="3" type="noConversion"/>
  </si>
  <si>
    <t>VMSA-2012-0009 : ESXi and ESX patches address critical security issues (uncredentialed check)</t>
    <phoneticPr fontId="3" type="noConversion"/>
  </si>
  <si>
    <t>远程VMware ESX/ESXi主机存在多种类型漏洞</t>
    <phoneticPr fontId="3" type="noConversion"/>
  </si>
  <si>
    <t>远程VMware ESX/ESXi主机可能受到以下安全攻击威胁：
1、ESX NFS流量解析漏洞；
2、VMware软驱内存不可写；
3、VMware SCSI device无法检测内存写。</t>
    <phoneticPr fontId="3" type="noConversion"/>
  </si>
  <si>
    <t>建议及时更新补丁，相关链接：
http://www.vmware.com/security/advisories/VMSA-2012-0009.html
http://lists.vmware.com/pipermail/security-announce/2012/000175.html</t>
    <phoneticPr fontId="3" type="noConversion"/>
  </si>
  <si>
    <t>PHP 5.4.x &lt; 5.4.4 Multiple Vulnerabilities</t>
    <phoneticPr fontId="3" type="noConversion"/>
  </si>
  <si>
    <t>建议升级 PHP 5.4.4或者最新版本</t>
    <phoneticPr fontId="3" type="noConversion"/>
  </si>
  <si>
    <t>PHP 5.4.x &lt; 5.4.5 _php_stream_scandir Overflow</t>
    <phoneticPr fontId="3" type="noConversion"/>
  </si>
  <si>
    <t>PHP 版本5.4.x 低于 5.4.5，存在_php_stream_scandir 溢出漏洞</t>
    <phoneticPr fontId="3" type="noConversion"/>
  </si>
  <si>
    <t>PHP 5.3.15之前版本和5.4.5之前的5.4.x版本中的流实现中的_php_stream_scandir函数中存在未明漏洞。远程攻击者可利用该漏洞使PHP溢出，从而导致服务中断。</t>
    <phoneticPr fontId="3" type="noConversion"/>
  </si>
  <si>
    <t>建议升级 PHP 5.4.5或者最新版本</t>
    <phoneticPr fontId="3" type="noConversion"/>
  </si>
  <si>
    <t>SSL Certificate Chain Contains Weak RSA Keys</t>
    <phoneticPr fontId="3" type="noConversion"/>
  </si>
  <si>
    <t>SSL证书链RSA密钥安全性较弱</t>
    <phoneticPr fontId="3" type="noConversion"/>
  </si>
  <si>
    <t>此项服务使用的X.509证书链包含的RSA Keys长度短于1024位。</t>
    <phoneticPr fontId="3" type="noConversion"/>
  </si>
  <si>
    <t>Apache 2.2 &lt; 2.2.23 Multiple Vulnerabilities</t>
    <phoneticPr fontId="3" type="noConversion"/>
  </si>
  <si>
    <t>Apache版本低于2.2.23</t>
    <phoneticPr fontId="3" type="noConversion"/>
  </si>
  <si>
    <t>升级apache版本到2.2.23以上
http://httpd.apache.org/</t>
    <phoneticPr fontId="3" type="noConversion"/>
  </si>
  <si>
    <t>Transport Layer Security (TLS) Protocol CRIME Vulnerability</t>
    <phoneticPr fontId="3" type="noConversion"/>
  </si>
  <si>
    <t>传输层安全协议CRIME漏洞</t>
    <phoneticPr fontId="3" type="noConversion"/>
  </si>
  <si>
    <t>TLS用于在两个通信应用程序之间提供保密性和数据完整性。 
    Mozilla Firefox，Google Chrome及其他多个产品使用的TLS协议1.2和之前版本中存在漏洞，该漏洞源于执行压缩数据加密时未能正确模糊未加密数据的长度。中间人攻击者可通过提交一系列猜测请求，观察到压缩数据长度的变化(也称CRIME攻击)来获取明文HTTP头信息，造成敏感信息泄露(如cookie信息)。</t>
    <phoneticPr fontId="3" type="noConversion"/>
  </si>
  <si>
    <t>1） 关闭SSL/TLS 压缩
2） 关闭SPDY服务</t>
    <phoneticPr fontId="3" type="noConversion"/>
  </si>
  <si>
    <t>MS12-073: Vulnerabilities in Microsoft IIS Could Allow Information Disclosure (2733829) (uncredentialed check)</t>
    <phoneticPr fontId="3" type="noConversion"/>
  </si>
  <si>
    <t>MS12-073: Microsoft IIS信息泄露漏洞</t>
    <phoneticPr fontId="3" type="noConversion"/>
  </si>
  <si>
    <t xml:space="preserve">Microsoft IIS 7.0或7.5版本的FTP服务存在一个命令注入漏洞,可能导致未经授权的信息泄露。
</t>
    <phoneticPr fontId="3" type="noConversion"/>
  </si>
  <si>
    <t>微软已经为此发布了一个安全公告（MS12-073）以及相应补丁:
http://technet.microsoft.com/en-us/security/bulletin/ms12-073</t>
    <phoneticPr fontId="3" type="noConversion"/>
  </si>
  <si>
    <t>HP Intelligent Management Center User Access Manager Datagram Parsing Code Execution</t>
    <phoneticPr fontId="3" type="noConversion"/>
  </si>
  <si>
    <t>HP智能管理中心用户访问管理器数据包解析代码执行</t>
    <phoneticPr fontId="3" type="noConversion"/>
  </si>
  <si>
    <t>根据现有版本，HP智能管理中心安装中远程设备上的用户访问管理器，远程设备可能受到基于堆栈的缓冲区溢出漏洞影响，通过发送特殊的数据包，一个远程的未验证的攻击者可能在远程设备上通过运行受影响的程序获取用户权限，从而执行任意代码。</t>
    <phoneticPr fontId="3" type="noConversion"/>
  </si>
  <si>
    <t>建议更新您的防病毒软件病毒库，以及对远程设备系统进行全面的扫描。相关链接：
http://iv.cs.uni-bonn.de/wg/cs/applications/containing-conficker/
http://support.microsoft.com/kb/962007
http://www.nessus.org/u?1f3900d3</t>
    <phoneticPr fontId="3" type="noConversion"/>
  </si>
  <si>
    <t>MS13-006: Vulnerability in Microsoft Windows Could Allow Security Feature Bypass (2785220)</t>
    <phoneticPr fontId="3" type="noConversion"/>
  </si>
  <si>
    <t>MS13-006：Windows SSLv3/TLS 安全绕过漏洞</t>
    <phoneticPr fontId="3" type="noConversion"/>
  </si>
  <si>
    <t>Microsoft Windows 的 SSL 和 TLS 实施中一个秘密报告的漏洞。如果攻击者截取加密的 Web 通信握手，则该漏洞可能允许安全功能绕过</t>
    <phoneticPr fontId="3" type="noConversion"/>
  </si>
  <si>
    <t>目前厂商已经发布了升级补丁以修复此安全问题，补丁获取链接： 
http://technet.microsoft.com/zh-cn/security/bulletin/ms13-006</t>
    <phoneticPr fontId="3" type="noConversion"/>
  </si>
  <si>
    <t>Apache 2.2 &lt; 2.2.24 Multiple XSS Vulnerabilities</t>
    <phoneticPr fontId="3" type="noConversion"/>
  </si>
  <si>
    <t>Apache版本低于2.2.24导致多个XSS漏洞</t>
    <phoneticPr fontId="3" type="noConversion"/>
  </si>
  <si>
    <t xml:space="preserve">Apache版本低于2.2.24导致多个XSS漏洞，主要为以下模块：mod_info, mod_status, mod_imagemap, mod_ldap, and mod_proxy_ftp </t>
    <phoneticPr fontId="3" type="noConversion"/>
  </si>
  <si>
    <t>升级Apache版本至2.2.24及以上。</t>
    <phoneticPr fontId="3" type="noConversion"/>
  </si>
  <si>
    <t>PHP 5.4.x &lt; 5.4.12 Multiple Vulnerabilities</t>
    <phoneticPr fontId="3" type="noConversion"/>
  </si>
  <si>
    <t>PHP 版本5.4.x 低于 5.4.12</t>
    <phoneticPr fontId="3" type="noConversion"/>
  </si>
  <si>
    <t>建议升级 PHP 5.4.12或者最新版本</t>
    <phoneticPr fontId="3" type="noConversion"/>
  </si>
  <si>
    <t>VMware vCenter Server Denial of Service (VMSA-2012-0018)</t>
    <phoneticPr fontId="3" type="noConversion"/>
  </si>
  <si>
    <t>VMware vCenter 服务器拒绝服务攻击漏洞</t>
    <phoneticPr fontId="3" type="noConversion"/>
  </si>
  <si>
    <t>VMware vCenter Server可以快速部署虚拟机，并监控物理服务器和虚拟机的性能，可通过单个界面部署、监控和管理虚拟化IT环境，并确保最佳的服务级别。 
    VMware vCenter Server Update 3之前的4.1版本和Update 2之前的5.0版本，及vCSA Update 2之前的5.0版本中存在漏洞。远程攻击者可利用该漏洞通过触发超大日志条目的向量导致拒绝服务（消耗大量磁盘空间）。</t>
    <phoneticPr fontId="3" type="noConversion"/>
  </si>
  <si>
    <t>升级VMware vCenter至最新版本
http://www.vmware.com/security/advisories/VMSA-2012-0018.html</t>
    <phoneticPr fontId="3" type="noConversion"/>
  </si>
  <si>
    <t>HP Intelligent Management Center &lt; 5.2 E401 Multiple Vulnerabilities</t>
    <phoneticPr fontId="3" type="noConversion"/>
  </si>
  <si>
    <t>HP Intelligent Management Cente版本低于5.2 E401，存在多个安全漏洞</t>
    <phoneticPr fontId="3" type="noConversion"/>
  </si>
  <si>
    <t>安装在远程主机上的HP Intelligent Management Cente可能受到多个漏洞攻击。</t>
    <phoneticPr fontId="3" type="noConversion"/>
  </si>
  <si>
    <t>升级HP Intelligent Management Cente至5.2 E401及以上版本。</t>
    <phoneticPr fontId="3" type="noConversion"/>
  </si>
  <si>
    <t>HP Intelligent Management Center User Access Manager Unspecified Information Disclosure</t>
    <phoneticPr fontId="3" type="noConversion"/>
  </si>
  <si>
    <t>HP智能管理中心用户访问管理器未预期信息泄露</t>
    <phoneticPr fontId="3" type="noConversion"/>
  </si>
  <si>
    <t>根据现有版本，HP智能管理中心安装在远程设备上的用户访问管理器可能受到未预期的信息泄露漏洞。</t>
    <phoneticPr fontId="3" type="noConversion"/>
  </si>
  <si>
    <t>IBM Lotus Domino 8.5.x &lt; 8.5.3 Multiple Vulnerabilities</t>
    <phoneticPr fontId="3" type="noConversion"/>
  </si>
  <si>
    <t>IBM Lotus Domino版本低于8.5.3，存在多个漏洞</t>
    <phoneticPr fontId="3" type="noConversion"/>
  </si>
  <si>
    <t>IBM Lotus Domino版本低于8.5.3，可能受到存在多个安全漏洞攻击。</t>
    <phoneticPr fontId="3" type="noConversion"/>
  </si>
  <si>
    <t>升级Lotus Domino版本为8.5.3及以上。</t>
    <phoneticPr fontId="3" type="noConversion"/>
  </si>
  <si>
    <t>IBM Lotus Domino 8.5.x Multiple Vulnerabilities</t>
    <phoneticPr fontId="3" type="noConversion"/>
  </si>
  <si>
    <t>IBM Lotus Domino版本为8.5.x，存在多个漏洞</t>
    <phoneticPr fontId="3" type="noConversion"/>
  </si>
  <si>
    <t>升级Lotus Domino版本为9.0及以上。</t>
    <phoneticPr fontId="3" type="noConversion"/>
  </si>
  <si>
    <t>PHP 版本5.4.x 低于 5.4.13</t>
    <phoneticPr fontId="3" type="noConversion"/>
  </si>
  <si>
    <t>建议升级 PHP 5.4.13或者最新版本</t>
    <phoneticPr fontId="3" type="noConversion"/>
  </si>
  <si>
    <t>VMware vCenter Multiple Vulnerabilities (VMSA-2012-0013)</t>
    <phoneticPr fontId="3" type="noConversion"/>
  </si>
  <si>
    <t>VMware vCenter 存在多个安全漏洞</t>
    <phoneticPr fontId="3" type="noConversion"/>
  </si>
  <si>
    <t>安装在远程主机上的虚拟化管理应用存在多个漏洞</t>
    <phoneticPr fontId="3" type="noConversion"/>
  </si>
  <si>
    <t>升级VMware vCenter Server 4.0 Update 4a / 4.1 Update 3 / 5.0 Update 2 或者更新的版本。</t>
    <phoneticPr fontId="3" type="noConversion"/>
  </si>
  <si>
    <t>VMware vCenter Server Multiple Vulnerabilities (VMSA-2012-0005)</t>
    <phoneticPr fontId="3" type="noConversion"/>
  </si>
  <si>
    <t>VMware vCenter Server存在多个安全漏洞</t>
    <phoneticPr fontId="3" type="noConversion"/>
  </si>
  <si>
    <t>升级VMware vCenter Server 4.0 Update 4a / 4.1 Update 3 / or 5.0 Update 1 或者更新的版本。</t>
    <phoneticPr fontId="3" type="noConversion"/>
  </si>
  <si>
    <t>PHP 5.4.x &lt; 5.4.16 Multiple Vulnerabilities</t>
    <phoneticPr fontId="3" type="noConversion"/>
  </si>
  <si>
    <t>PHP 版本5.4.x 低于 5.4.16</t>
    <phoneticPr fontId="3" type="noConversion"/>
  </si>
  <si>
    <t>建议升级 PHP 5.4.16或者最新版本</t>
    <phoneticPr fontId="3" type="noConversion"/>
  </si>
  <si>
    <t>IBM Lotus Domino版本低于8.5.3 FP4，存在多个漏洞</t>
    <phoneticPr fontId="3" type="noConversion"/>
  </si>
  <si>
    <t>IBM Lotus Domino版本低于8.5.3FP4，可能受到存在多个安全漏洞攻击。</t>
    <phoneticPr fontId="3" type="noConversion"/>
  </si>
  <si>
    <t>升级Lotus Domino版本为8.5.3FP4及以上。</t>
    <phoneticPr fontId="3" type="noConversion"/>
  </si>
  <si>
    <t>PHP 5.4.x &lt; 5.4.17 Buffer Overflow</t>
    <phoneticPr fontId="3" type="noConversion"/>
  </si>
  <si>
    <t>PHP 版本5.4.x 低于 5.4.17，存在缓冲区溢出漏洞</t>
    <phoneticPr fontId="3" type="noConversion"/>
  </si>
  <si>
    <t>PHP 版本5.4.x 低于 5.4.17， 'ext/pdo_pgsql/pgsql_driver.c'文件中的函数'_pdo_pgsql_error' 存在缓冲区溢出漏洞</t>
    <phoneticPr fontId="3" type="noConversion"/>
  </si>
  <si>
    <t>Apache 2.2 &lt; 2.2.25 Multiple Vulnerabilities</t>
    <phoneticPr fontId="3" type="noConversion"/>
  </si>
  <si>
    <t xml:space="preserve">Apache版本低于2.2.25 </t>
    <phoneticPr fontId="3" type="noConversion"/>
  </si>
  <si>
    <t>Apache版本较低，导致存在多处漏洞。</t>
    <phoneticPr fontId="3" type="noConversion"/>
  </si>
  <si>
    <t>升级apache版本到2.2.25以上
http://httpd.apache.org/</t>
    <phoneticPr fontId="3" type="noConversion"/>
  </si>
  <si>
    <t>HP System Management Homepage &lt; 7.2.1.0 Multiple Vulnerabilities</t>
    <phoneticPr fontId="3" type="noConversion"/>
  </si>
  <si>
    <t xml:space="preserve">HP System Management Homepage版本低于7.2.1.0 </t>
    <phoneticPr fontId="3" type="noConversion"/>
  </si>
  <si>
    <t>由于HP的管理工具版本较低，存在多处漏洞，如输入处XSS漏洞，拒绝服务漏洞，信息泄露等漏洞,PHP捆绑包存在多处漏洞，apache捆绑包存在多处漏洞等等</t>
    <phoneticPr fontId="3" type="noConversion"/>
  </si>
  <si>
    <t>1、建议升级到HP System Management Homepage7.2.1.0或者更新版本；
2、若不需要该管理工具，则直接卸载。</t>
    <phoneticPr fontId="3" type="noConversion"/>
  </si>
  <si>
    <t>Serv-U &lt; 14.0.2.0 FTP Server SSL Renegotiation DoS</t>
    <phoneticPr fontId="3" type="noConversion"/>
  </si>
  <si>
    <t>Serv-U版本低于14.0.2.0</t>
    <phoneticPr fontId="3" type="noConversion"/>
  </si>
  <si>
    <t>远程FTP服务器可能会受到拒绝服务攻击。</t>
    <phoneticPr fontId="3" type="noConversion"/>
  </si>
  <si>
    <t>升级 Serv-U 版本为 14.0.2.0及以上。</t>
    <phoneticPr fontId="3" type="noConversion"/>
  </si>
  <si>
    <t>PHP 5.4.x &lt; 5.4.18 Multiple Vulnerabilities</t>
    <phoneticPr fontId="3" type="noConversion"/>
  </si>
  <si>
    <t>PHP 版本5.4.x 低于 5.4.18</t>
    <phoneticPr fontId="3" type="noConversion"/>
  </si>
  <si>
    <t>建议升级 PHP 5.4.18或者最新版本</t>
    <phoneticPr fontId="3" type="noConversion"/>
  </si>
  <si>
    <t xml:space="preserve">
Oracle TNS Listener Remote Poisoning
</t>
    <phoneticPr fontId="3" type="noConversion"/>
  </si>
  <si>
    <t>Oracle TNS侦听器远程毒化</t>
    <phoneticPr fontId="3" type="noConversion"/>
  </si>
  <si>
    <t xml:space="preserve"> Oracle Database Server是一个对象关系数据库管理系统。 
    Oracle Database Server在实现上存在可允许攻击者向远程“TNS Listener”组件处理的数据投毒的漏洞。攻击者可利用此漏洞将数据库服务器的合法“TNS Listener”组件中的数据转向到攻击者控制的系统，导致控制远程组件的数据库实例，造成组件和合法数据库之间的攻击者攻击、会话劫持或拒绝服务攻击。</t>
    <phoneticPr fontId="3" type="noConversion"/>
  </si>
  <si>
    <t xml:space="preserve"> 目前厂商已经发布了升级补丁以修复此安全问题，补丁获取链接： 
        http://www.oracle.com/technetwork/topics/security/alert-cve-2012-1675-1608180.html</t>
    <phoneticPr fontId="3" type="noConversion"/>
  </si>
  <si>
    <t>Apache Tomcat / JBoss EJBInvokerServlet / JMXInvokerServlet Marshalled Object Remote Code Execution</t>
    <phoneticPr fontId="3" type="noConversion"/>
  </si>
  <si>
    <t>Apache Tomcat / JBoss EJBInvokerServlet / JMXInvokerServlet Marshalled Object存在远程代码执行漏洞</t>
    <phoneticPr fontId="3" type="noConversion"/>
  </si>
  <si>
    <t>JBoss Enterprise Application Platform是一款企业级应用程序平台，用于基于JBoss的应用开发。 
    JBoss Enterprise Application Platform (EAP) 5.2.0，Web Platform (EWP) 5.2.0，以及BRMS Platform 5.3.1之前版本中的JMXInvokerHAServlet调用器以及EJBInvokerHAServlet调用器中存在漏洞，该漏洞源于调用器没有在某些配置文件中以默认的形式要求对身份进行验证。通过未明向量，远程攻击者可利用该漏洞调用Mbean方法以及执行任意代码。</t>
    <phoneticPr fontId="3" type="noConversion"/>
  </si>
  <si>
    <t>IBM Domino 8.5.x &lt; 8.5.3 FP 5 Multiple Vulnerabilities</t>
    <phoneticPr fontId="3" type="noConversion"/>
  </si>
  <si>
    <t>IBM Domino版本低于8.5.3 FP5，存在多个漏洞</t>
    <phoneticPr fontId="3" type="noConversion"/>
  </si>
  <si>
    <t>IBM Domino版本低于8.5.3FP5，可能受到存在多个安全漏洞攻击。</t>
    <phoneticPr fontId="3" type="noConversion"/>
  </si>
  <si>
    <t>升级Lotus Domino版本为8.5.3FP5及以上。</t>
    <phoneticPr fontId="3" type="noConversion"/>
  </si>
  <si>
    <t>ESXi 5.0 &lt; Build 1022489 xmlParseAttValueComplex Underflow (remote check)</t>
    <phoneticPr fontId="3" type="noConversion"/>
  </si>
  <si>
    <t>ESXi 5.0 &lt; Build 1022489 xmlParseAttValueComplex溢出攻击</t>
    <phoneticPr fontId="3" type="noConversion"/>
  </si>
  <si>
    <t xml:space="preserve"> 远程VMware ESXi 5.0 host可能受到缓冲区溢出攻击，与存放在文件“parser”的 'xmlParseAttValueComplex' 函数相关，可能引起拒绝服务或任意代码执行。</t>
    <phoneticPr fontId="3" type="noConversion"/>
  </si>
  <si>
    <t>应用补丁ESXi500-201303101-SG，相关链接：
http://kb.vmware.com/kb/2044378
http://www.vmware.com/security/advisories/VMSA-2013-0004.html</t>
    <phoneticPr fontId="3" type="noConversion"/>
  </si>
  <si>
    <t>ESXi 5.0 &lt; Build 1197855 NFC Traffic Denial of Service (remote check)</t>
    <phoneticPr fontId="3" type="noConversion"/>
  </si>
  <si>
    <t>ESXi 5.0 &lt; Build 1197855 NFC流量拒绝服务攻击</t>
    <phoneticPr fontId="3" type="noConversion"/>
  </si>
  <si>
    <t>远程VMware ESXi 5.0主机可能受到与处理NFC流量相关的未预期错误，可能遭受拒绝服务攻击。</t>
    <phoneticPr fontId="3" type="noConversion"/>
  </si>
  <si>
    <t>应用补丁ESXi500-201308101-SG，相关链接：
http://kb.vmware.com/kb/2053139
http://www.vmware.com/security/advisories/VMSA-2013-0011.html</t>
    <phoneticPr fontId="3" type="noConversion"/>
  </si>
  <si>
    <t>ESXi 5.0 &lt; Build 1311175 Multiple Vulnerabilities (remote check)</t>
    <phoneticPr fontId="3" type="noConversion"/>
  </si>
  <si>
    <t>ESXi 5.0 &lt; Build 1311175
存在多种类型漏洞</t>
    <phoneticPr fontId="3" type="noConversion"/>
  </si>
  <si>
    <t>远程 VMware ESXi 5.0主机可能受到以下安全攻击威胁：
1、与OPENSSL相关的多种错误存在，可能引起信息泄露或者拒绝服务攻击；
2、libxml2存在一个错误，与XML扩展相关，可能引发拒绝服务攻击；
3、 'hostd-vmdb'存在一个未预期的错误，可能引发拒绝服务攻击；
等等。</t>
    <phoneticPr fontId="3" type="noConversion"/>
  </si>
  <si>
    <t>应用补丁ESXi500-201310101-SG, ESXi500-201310201-UG, or ESXi500-Update03，相关链接：
http://kb.vmware.com/kb/2055559</t>
    <phoneticPr fontId="3" type="noConversion"/>
  </si>
  <si>
    <t>ESXi 5.0 &lt; Build 515841 Multiple Vulnerabilities (remote check)</t>
    <phoneticPr fontId="3" type="noConversion"/>
  </si>
  <si>
    <t>ESXi 5.0 &lt; Build 515841 
存在多种类型漏洞</t>
    <phoneticPr fontId="3" type="noConversion"/>
  </si>
  <si>
    <t>远程 VMware ESXi 5.0主机存在多个安全漏洞。</t>
    <phoneticPr fontId="3" type="noConversion"/>
  </si>
  <si>
    <t>应用补丁ESXi500-201112401-SG.，相关链接：
http://kb.vmware.com/kb/2007671
http://www.vmware.com/security/advisories/VMSA-2011-0012.html</t>
    <phoneticPr fontId="3" type="noConversion"/>
  </si>
  <si>
    <t>ESXi 5.0 &lt; Build 608089 Multiple Vulnerabilities (remote check)</t>
    <phoneticPr fontId="3" type="noConversion"/>
  </si>
  <si>
    <t>ESXi 5.0 &lt; Build 608089 
存在多种类型漏洞</t>
    <phoneticPr fontId="3" type="noConversion"/>
  </si>
  <si>
    <t>应用补丁ESXi500-201203101-SG.，相关链接：http://kb.vmware.com/kb/2011432
http://www.vmware.com/security/advisories/VMSA-2012-0001.html
http://www.vmware.com/security/advisories/VMSA-2012-0005.html</t>
    <phoneticPr fontId="3" type="noConversion"/>
  </si>
  <si>
    <t>ESXi 5.0 &lt; Build 702118 Multiple Vulnerabilities (remote check)</t>
    <phoneticPr fontId="3" type="noConversion"/>
  </si>
  <si>
    <t>ESXi 5.0 &lt; Build 702118
存在多种类型漏洞</t>
    <phoneticPr fontId="3" type="noConversion"/>
  </si>
  <si>
    <t>ESXi 5.0 &lt; Build 721882 Multiple Vulnerabilities (remote check)</t>
    <phoneticPr fontId="3" type="noConversion"/>
  </si>
  <si>
    <t>ESXi 5.0 &lt; Build 721882 
存在多种类型漏洞</t>
    <phoneticPr fontId="3" type="noConversion"/>
  </si>
  <si>
    <t>应用补丁 ESXi500-201206401-SG.，相关链接：http://kb.vmware.com/kb/2021031
http://www.vmware.com/security/advisories/VMSA-2012-0011.html</t>
    <phoneticPr fontId="3" type="noConversion"/>
  </si>
  <si>
    <t>ESXi 5.0 &lt; Build 764879 
存在多种类型漏洞</t>
    <phoneticPr fontId="3" type="noConversion"/>
  </si>
  <si>
    <t>应用补丁ESXi500-201207101-SG.，相关链接：http://kb.vmware.com/kb/2020572
http://www.vmware.com/security/advisories/VMSA-2012-0012.html</t>
    <phoneticPr fontId="3" type="noConversion"/>
  </si>
  <si>
    <t>ESXi 5.0 &lt; Build 912577 Multiple Vulnerabilities (remote check)</t>
    <phoneticPr fontId="3" type="noConversion"/>
  </si>
  <si>
    <t>ESXi 5.0 &lt; Build 912577 
存在多种类型漏洞</t>
    <phoneticPr fontId="3" type="noConversion"/>
  </si>
  <si>
    <t>应用补丁ESXi500-201212101-SG.，相关链接：http://kb.vmware.com/kb/2033767
http://www.vmware.com/security/advisories/VMSA-2013-0003.html</t>
    <phoneticPr fontId="3" type="noConversion"/>
  </si>
  <si>
    <t>PHP 5.4.x &lt; 5.4.23 OpenSSL openssl_x509_parse() Memory Corruption</t>
    <phoneticPr fontId="3" type="noConversion"/>
  </si>
  <si>
    <t>PHP ‘OpenSSL openssl_x509_parse()’函数内存损坏漏洞</t>
    <phoneticPr fontId="3" type="noConversion"/>
  </si>
  <si>
    <t>PHP中的ext/openssl/openssl.c文件中的‘asn1_time_to_time_t’函数中存在内存损坏漏洞，该漏洞源于openssl_x509_parse()函数没有正确解析X.509证书中的notBefore和notAfter时间戳。远程攻击者可借助特制的证书利用该漏洞执行任意代码或造成拒绝服务（应用程序崩溃）。</t>
    <phoneticPr fontId="3" type="noConversion"/>
  </si>
  <si>
    <t>建议升级 PHP 5.4.23或者最新版本</t>
    <phoneticPr fontId="3" type="noConversion"/>
  </si>
  <si>
    <t>IBM Domino版本低于8.5.3 FP5 iNotes，存在多个漏洞</t>
    <phoneticPr fontId="3" type="noConversion"/>
  </si>
  <si>
    <t>升级Lotus Domino版本为8.5.3 FP5 iNotes及以上。</t>
    <phoneticPr fontId="3" type="noConversion"/>
  </si>
  <si>
    <t>Serv-U FTP Server &lt; 15.0.0.0 Multiple Security Vulnerabilities</t>
    <phoneticPr fontId="3" type="noConversion"/>
  </si>
  <si>
    <t>Serv-U FTP Server 版本低于15.0.0.0 ，存在多个漏洞</t>
    <phoneticPr fontId="3" type="noConversion"/>
  </si>
  <si>
    <t>Serv-U FTP Server 版本低于15.0.0.0 ，可能受到存在多个安全漏洞攻击。</t>
    <phoneticPr fontId="3" type="noConversion"/>
  </si>
  <si>
    <t>升级Serv-U FTP Server 版本为15.0.0.0及以上。</t>
    <phoneticPr fontId="3" type="noConversion"/>
  </si>
  <si>
    <t>HP Intelligent Management Center &lt; 7.0 E0102 DES / ECB Weak Decryption Key</t>
    <phoneticPr fontId="3" type="noConversion"/>
  </si>
  <si>
    <t>HP Intelligent Management Center 版本低于7.0 E0102，存在 DES / ECB 弱解密密钥漏洞</t>
    <phoneticPr fontId="3" type="noConversion"/>
  </si>
  <si>
    <t>升级iMC version至7.0 E0102及以上。
http://www.zerodayinitiative.com/advisories/ZDI-13-241/
http://www.nessus.org/u?79290a02</t>
    <phoneticPr fontId="3" type="noConversion"/>
  </si>
  <si>
    <t>PHP 5.4.x &lt; 5.4.24 Multiple Vulnerabilities</t>
    <phoneticPr fontId="3" type="noConversion"/>
  </si>
  <si>
    <t>PHP 版本5.4.x 低于 5.4.24</t>
    <phoneticPr fontId="3" type="noConversion"/>
  </si>
  <si>
    <t>建议升级 PHP 5.4.24或者最新版本</t>
    <phoneticPr fontId="3" type="noConversion"/>
  </si>
  <si>
    <t>Serv-U FTP Server 版本低于15.0.1.20 ，存在拒绝服务攻击漏洞</t>
    <phoneticPr fontId="3" type="noConversion"/>
  </si>
  <si>
    <t>Serv-U FTP Server 版本低于15.0.1.20 ，可能存在拒绝服务攻击。</t>
    <phoneticPr fontId="3" type="noConversion"/>
  </si>
  <si>
    <t>升级Serv-U FTP Server 版本至15.0.1.20及以上。</t>
    <phoneticPr fontId="3" type="noConversion"/>
  </si>
  <si>
    <t>IBM Domino &lt; 8.5.3 FP 6 IF 1 / 9.0.1 IF 2 DoS</t>
    <phoneticPr fontId="3" type="noConversion"/>
  </si>
  <si>
    <t>IBM Domino版本于8.5.3 FP 6 IF 1 / 9.0.1 IF 2</t>
    <phoneticPr fontId="3" type="noConversion"/>
  </si>
  <si>
    <t>IBM Domino版本于8.5.3 FP 6 IF 1 / 9.0.1 IF 2容易遭受拒绝服务攻击</t>
    <phoneticPr fontId="3" type="noConversion"/>
  </si>
  <si>
    <t>升级版本至 8.5.3 FP 6 IF 1 / 9.0.1 IF 2 及以上。</t>
    <phoneticPr fontId="3" type="noConversion"/>
  </si>
  <si>
    <t>MS11-058: Vulnerabilities in DNS Server Could Allow Remote Code Execution (2562485) (uncredentialed check)</t>
    <phoneticPr fontId="3" type="noConversion"/>
  </si>
  <si>
    <t>MS11-058: DNS服务器远程代码执行漏洞</t>
    <phoneticPr fontId="3" type="noConversion"/>
  </si>
  <si>
    <t>DNS服务器在NAPTR查询的实现上存在远程代码执行漏洞，由于在处理不存在域的查询时存在错误，可造成服务器停止响应。远程攻击者可利用此漏洞以系统级别的权限执行任意代码，完全控制受影响计算机。</t>
    <phoneticPr fontId="3" type="noConversion"/>
  </si>
  <si>
    <t>微软已经为Windows 2003, 2008, and2008 R2平台发布了相关补丁。
http://technet.microsoft.com/en-us/security/bulletin/ms11-058</t>
    <phoneticPr fontId="3" type="noConversion"/>
  </si>
  <si>
    <t>MS12-017: Vulnerability in DNS Server Could Allow Denial of Service (2647170) (uncredentialed check)</t>
    <phoneticPr fontId="3" type="noConversion"/>
  </si>
  <si>
    <t>MS12-017：DNS服务器存在拒绝服务攻击漏洞</t>
    <phoneticPr fontId="3" type="noConversion"/>
  </si>
  <si>
    <t>DNS服务器存在拒绝服务攻击漏洞攻击</t>
    <phoneticPr fontId="3" type="noConversion"/>
  </si>
  <si>
    <t>微软已经为Windows 2003, 2008, and2008 R2平台发布了相关补丁。
http://technet.microsoft.com/en-us/security/bulletin/ms12-017</t>
    <phoneticPr fontId="3" type="noConversion"/>
  </si>
  <si>
    <t>PHP 5.4.x &lt; 5.4.26 Multiple Vulnerabilities</t>
    <phoneticPr fontId="3" type="noConversion"/>
  </si>
  <si>
    <t>PHP PHP_RSHUTDOWN_FUNCTION Security Bypass</t>
    <phoneticPr fontId="3" type="noConversion"/>
  </si>
  <si>
    <t>PHP_RSHUTDOWN_FUNCTION模块绕过漏洞</t>
    <phoneticPr fontId="3" type="noConversion"/>
  </si>
  <si>
    <t>PHP 5.x版本中的‘libxml RSHUTDOWN’函数中存在信息泄露漏洞。远程攻击者可通过调用stream_close方法利用该漏洞绕过open_basedir保护机制，读取任意文件。</t>
    <phoneticPr fontId="3" type="noConversion"/>
  </si>
  <si>
    <t>升级PHP版本至5.3.11 / 5.4.1及以上。</t>
    <phoneticPr fontId="3" type="noConversion"/>
  </si>
  <si>
    <t>PHP 5.4.x &lt; 5.4.27 awk Magic Parsing BEGIN DoS</t>
    <phoneticPr fontId="3" type="noConversion"/>
  </si>
  <si>
    <t>PHP 版本5.4.x 低于 5.4.27</t>
    <phoneticPr fontId="3" type="noConversion"/>
  </si>
  <si>
    <t>file是一套用于类Unix系统下查看文件格式的工具。 
    PHP 版本5.4.x 低于 5.4.27 中调用了存在漏洞的file。file 5.14及之前版本中的magic/Magdir/commands中的awk脚本检测器中的BEGIN正则表达式中存在安全漏洞，该漏洞源于使用多个无限制重复的通配符。攻击者可借助特制的ASCII文件利用该漏洞造成拒绝服务（CPU消耗)。</t>
    <phoneticPr fontId="3" type="noConversion"/>
  </si>
  <si>
    <t>Apache 2.2 &lt; 2.2.27 Multiple Vulnerabilities</t>
    <phoneticPr fontId="3" type="noConversion"/>
  </si>
  <si>
    <t>Apache版本2.2 低于2.2.27 导致多个漏洞</t>
    <phoneticPr fontId="3" type="noConversion"/>
  </si>
  <si>
    <t>升级apache版本到2.2.27以上
http://httpd.apache.org/</t>
    <phoneticPr fontId="3" type="noConversion"/>
  </si>
  <si>
    <t>OpenSSL Heartbeat Information Disclosure (Heartbleed)</t>
    <phoneticPr fontId="3" type="noConversion"/>
  </si>
  <si>
    <t>OpenSSL心跳信息泄露漏洞（心脏出血）</t>
    <phoneticPr fontId="3" type="noConversion"/>
  </si>
  <si>
    <t>根据TLS请求的带有伪造心跳信息的响应情况，远程服务显示可能受到禁止读入缺陷的影响。</t>
    <phoneticPr fontId="3" type="noConversion"/>
  </si>
  <si>
    <t>建议升级OpenSSL版本至1.0.1g及以上，相关链接：
http://heartbleed.com/
http://eprint.iacr.org/2014/140
http://www.openssl.org/news/vulnerabilities.html#2014-0160</t>
    <phoneticPr fontId="3" type="noConversion"/>
  </si>
  <si>
    <t>PHP 5.4.x &lt; 5.4.28 FPM Unix Socket Insecure Permission Escalation</t>
    <phoneticPr fontId="3" type="noConversion"/>
  </si>
  <si>
    <t>PHP 版本5.4.x 低于 5.4.28,存在FastCGI Process Manager 权限许可和访问控制漏洞</t>
    <phoneticPr fontId="3" type="noConversion"/>
  </si>
  <si>
    <t xml:space="preserve"> FastCGI Process Manager（FPM）是英国软件开发者Andrei Nigmatulin所研发的一个用于PHP中的FastCGI进程管理器，它用来管理FastCGI进程。 
    PHP版本低于5.4.28和 5.5.0至5.5.11版本的FPM中的sapi/fpm/fpm/fpm_unix.c文件存在安全漏洞，该漏洞源于程序对UNIX套接字使用0666权限。本地攻击者可借助特制的FastCGI客户端利用该漏洞获取特权。</t>
    <phoneticPr fontId="3" type="noConversion"/>
  </si>
  <si>
    <t>建议升级 PHP 5.4.28/5.5.12或者最新版本</t>
    <phoneticPr fontId="3" type="noConversion"/>
  </si>
  <si>
    <t>PHP 5.4.x &lt; 5.4.29 'src/cdf.c' Multiple Vulnerabilities</t>
    <phoneticPr fontId="3" type="noConversion"/>
  </si>
  <si>
    <t>PHP 版本5.4.x 低于 5.4.29</t>
    <phoneticPr fontId="3" type="noConversion"/>
  </si>
  <si>
    <t>PHP版本较低，'src/cdf.c'文件存在多个漏洞。</t>
    <phoneticPr fontId="3" type="noConversion"/>
  </si>
  <si>
    <t>建议升级 PHP 5.4.29或者最新版本</t>
    <phoneticPr fontId="3" type="noConversion"/>
  </si>
  <si>
    <t>PHP 5.4.x &lt; 5.4.30 Multiple Vulnerabilities</t>
    <phoneticPr fontId="3" type="noConversion"/>
  </si>
  <si>
    <t>PHP 版本5.4.x 低于 5.4.30</t>
    <phoneticPr fontId="3" type="noConversion"/>
  </si>
  <si>
    <t>建议升级 PHP 5.4.30或者最新版本</t>
    <phoneticPr fontId="3" type="noConversion"/>
  </si>
  <si>
    <t>ESXi 5.0 &lt; Build 1918656 OpenSSL Library Multiple Vulnerabilities (remote check)</t>
    <phoneticPr fontId="3" type="noConversion"/>
  </si>
  <si>
    <t>ESXi 5.0 &lt; Build 1918656 
OpenSSL库存在多种类型漏洞</t>
    <phoneticPr fontId="3" type="noConversion"/>
  </si>
  <si>
    <t>Serv-U FTP Server &lt; 15.1.0.458 Multiple Vulnerabilities</t>
    <phoneticPr fontId="3" type="noConversion"/>
  </si>
  <si>
    <t>Serv-U FTP服务器版本低于15.1.0.458</t>
    <phoneticPr fontId="3" type="noConversion"/>
  </si>
  <si>
    <t>远程FTP服务器可能会受到多个安全漏洞攻击。</t>
    <phoneticPr fontId="3" type="noConversion"/>
  </si>
  <si>
    <t>升级Serv-U 版本至15.1.0.458及以上。</t>
    <phoneticPr fontId="3" type="noConversion"/>
  </si>
  <si>
    <t xml:space="preserve"> Apache 2.4 &lt; 2.4.10 Multiple Vulnerabilities</t>
    <phoneticPr fontId="3" type="noConversion"/>
  </si>
  <si>
    <t>Apache版本低于2.4.10，存在多个安全威胁</t>
    <phoneticPr fontId="3" type="noConversion"/>
  </si>
  <si>
    <t>Apache版本过低，可能受到拒绝服务攻击、缓冲区溢出等多种安全威胁的攻击。</t>
    <phoneticPr fontId="3" type="noConversion"/>
  </si>
  <si>
    <t>确保受影响的模块未使用，以避免存在安全问题，也可升级Apache版本至2.4.10及以上。</t>
    <phoneticPr fontId="3" type="noConversion"/>
  </si>
  <si>
    <t>OpenSSL 'ChangeCipherSpec' MiTM Vulnerability</t>
    <phoneticPr fontId="3" type="noConversion"/>
  </si>
  <si>
    <t>OpenSSL"ChangeCipherSpec"中间人攻击漏洞</t>
    <phoneticPr fontId="3" type="noConversion"/>
  </si>
  <si>
    <t>远程设备上的OpenSSL服务，攻击者可能通过伪造握手协议，实现中间人攻击。</t>
    <phoneticPr fontId="3" type="noConversion"/>
  </si>
  <si>
    <t>OpenSSL 0.9.8 SSL/TLS用户升级至 0.9.8za，OpenSSL 1.0.0 SSL/TLS用户升级至1.0.0m， OpenSSL 1.0.1 SSL/TLS用户升级至 1.0.1h.相关链接：
http://www.nessus.org/u?d5709faa
https://www.imperialviolet.org/2014/06/05/earlyccs.html
https://www.openssl.org/news/secadv_20140605.txt</t>
    <phoneticPr fontId="3" type="noConversion"/>
  </si>
  <si>
    <t>PHP 5.4.x &lt; 5.4.32 Multiple Vulnerabilities</t>
    <phoneticPr fontId="3" type="noConversion"/>
  </si>
  <si>
    <t>Apache 2.2 &lt; 2.2.28 Multiple Vulnerabilities</t>
    <phoneticPr fontId="3" type="noConversion"/>
  </si>
  <si>
    <t>Apache版本2.2 低于2.2.28</t>
    <phoneticPr fontId="3" type="noConversion"/>
  </si>
  <si>
    <t>升级apache版本到2.2.28以上
http://httpd.apache.org/</t>
    <phoneticPr fontId="3" type="noConversion"/>
  </si>
  <si>
    <t>PHP 5.4.x &lt; 5.4.34 Multiple Vulnerabilities</t>
    <phoneticPr fontId="3" type="noConversion"/>
  </si>
  <si>
    <t>NFS Share User Mountable</t>
    <phoneticPr fontId="3" type="noConversion"/>
  </si>
  <si>
    <t>NFS 共享允许远程挂载</t>
    <phoneticPr fontId="3" type="noConversion"/>
  </si>
  <si>
    <t>服务器的NFS共享允许通过远程挂载，攻击者可能会利用此漏洞获取远程主机文件的读权限（甚至是写）。</t>
    <phoneticPr fontId="3" type="noConversion"/>
  </si>
  <si>
    <t>配置NFS，限制为仅允许已通过授权的远程主机可以进行远程挂载NFS共享。</t>
    <phoneticPr fontId="3" type="noConversion"/>
  </si>
  <si>
    <t>NFS Shares World Readable</t>
    <phoneticPr fontId="3" type="noConversion"/>
  </si>
  <si>
    <t>远程NFS服务器允许导出一个或更多的共享，而没有限制访问（如基于主机名，IP或IP范围）。</t>
    <phoneticPr fontId="3" type="noConversion"/>
  </si>
  <si>
    <t xml:space="preserve">PHP 版本低于 4.3.10 / 5.0.3 </t>
    <phoneticPr fontId="3" type="noConversion"/>
  </si>
  <si>
    <t>建议升级 PHP 4.3.10 / 5.0.3 或者最新版本</t>
    <phoneticPr fontId="3" type="noConversion"/>
  </si>
  <si>
    <t>PHP Multiple Image Processing Functions File Handling DoS</t>
    <phoneticPr fontId="3" type="noConversion"/>
  </si>
  <si>
    <t>PHP图形文件格式远程拒绝服务漏洞</t>
    <phoneticPr fontId="3" type="noConversion"/>
  </si>
  <si>
    <t>PHP是用途非常广泛的通用目的脚本语言，可嵌入在HTML中。 
PHP Group PHP中存在远程拒绝服务漏洞，起因是应用程序没能正确的处理恶意创建的图形格式文件(IFF)图形文件。</t>
    <phoneticPr fontId="3" type="noConversion"/>
  </si>
  <si>
    <t>目前厂商已经发布了升级补丁以修复这个安全问题，请到厂商的主页下载： 
www.php.net/distributions/php-5.0.4.tar.gz 
www.php.net/distributions/php-5.0.4.tar.bz2</t>
    <phoneticPr fontId="3" type="noConversion"/>
  </si>
  <si>
    <t>PHP 5.x &lt; 5.1.0 Multiple Vulnerabilities</t>
    <phoneticPr fontId="3" type="noConversion"/>
  </si>
  <si>
    <t>PHP 版本5.x 低于 5.1.0</t>
    <phoneticPr fontId="3" type="noConversion"/>
  </si>
  <si>
    <t>建议升级 PHP 5.1.0或者最新版本</t>
    <phoneticPr fontId="3" type="noConversion"/>
  </si>
  <si>
    <t>PHP 5.1.x &lt; 5.1.5 Multiple Vulnerabilities</t>
    <phoneticPr fontId="3" type="noConversion"/>
  </si>
  <si>
    <t>PHP 版本 5.1.x  低于 5.1.5</t>
    <phoneticPr fontId="3" type="noConversion"/>
  </si>
  <si>
    <t>建议升级 PHP 5.1.5或者最新版本</t>
    <phoneticPr fontId="3" type="noConversion"/>
  </si>
  <si>
    <t>PHP 5.x &lt; 5.2.2 Information Disclosure</t>
    <phoneticPr fontId="3" type="noConversion"/>
  </si>
  <si>
    <t>PHP 版本5.x 低于 5.2.2</t>
    <phoneticPr fontId="3" type="noConversion"/>
  </si>
  <si>
    <t>建议升级 PHP 5.2.2或者最新版本</t>
    <phoneticPr fontId="3" type="noConversion"/>
  </si>
  <si>
    <t>PHP &lt; 4.3.11 / 5.0.3 Multiple Unspecified Vulnerabilities</t>
    <phoneticPr fontId="3" type="noConversion"/>
  </si>
  <si>
    <t xml:space="preserve">PHP 版本低于 4.3.11 / 5.0.3 </t>
    <phoneticPr fontId="3" type="noConversion"/>
  </si>
  <si>
    <t>建议升级 PHP 4.3.11 / 5.0.3 或者最新版本</t>
    <phoneticPr fontId="3" type="noConversion"/>
  </si>
  <si>
    <t>PHP &lt; 4.4.1 / 5.0.6 Multiple Vulnerabilities</t>
    <phoneticPr fontId="3" type="noConversion"/>
  </si>
  <si>
    <t xml:space="preserve">PHP 版本低于 4.4.1 / 5.0.6 </t>
    <phoneticPr fontId="3" type="noConversion"/>
  </si>
  <si>
    <t>建议升级 PHP 4.4.1 / 5.0.6 或者最新版本</t>
    <phoneticPr fontId="3" type="noConversion"/>
  </si>
  <si>
    <t>PHP &lt; 4.4.3 / 5.1.4 Multiple Vulnerabilities</t>
    <phoneticPr fontId="3" type="noConversion"/>
  </si>
  <si>
    <t xml:space="preserve">PHP 版本低于  4.4.3 / 5.1.4  </t>
    <phoneticPr fontId="3" type="noConversion"/>
  </si>
  <si>
    <t>建议升级 PHP 4.4.3 / 5.1.4 或者最新版本</t>
    <phoneticPr fontId="3" type="noConversion"/>
  </si>
  <si>
    <t>PHP &lt; 5.2.1 Multiple Vulnerabilities</t>
    <phoneticPr fontId="3" type="noConversion"/>
  </si>
  <si>
    <t>PHP 版本低于  5.2.1</t>
    <phoneticPr fontId="3" type="noConversion"/>
  </si>
  <si>
    <t>建议升级 PHP 5.2.1 或者最新版本</t>
    <phoneticPr fontId="3" type="noConversion"/>
  </si>
  <si>
    <t>PHP &lt; 5.2.3 Multiple Vulnerabilities</t>
    <phoneticPr fontId="3" type="noConversion"/>
  </si>
  <si>
    <t>PHP 版本低于  5.2.3</t>
    <phoneticPr fontId="3" type="noConversion"/>
  </si>
  <si>
    <t>建议升级 PHP 5.2.3 或者最新版本</t>
    <phoneticPr fontId="3" type="noConversion"/>
  </si>
  <si>
    <t>Apache &lt; 2.0.63 Multiple XSS Vulnerabilities</t>
    <phoneticPr fontId="3" type="noConversion"/>
  </si>
  <si>
    <t xml:space="preserve">Apache版本低于 2.0.63 </t>
    <phoneticPr fontId="3" type="noConversion"/>
  </si>
  <si>
    <t>升级apache版本到2.0.63 以上
http://httpd.apache.org/</t>
    <phoneticPr fontId="3" type="noConversion"/>
  </si>
  <si>
    <t>PHP 5.x &lt; 5.2 Multiple Vulnerabilities</t>
    <phoneticPr fontId="3" type="noConversion"/>
  </si>
  <si>
    <t>PHP 版本低于  5.2</t>
    <phoneticPr fontId="3" type="noConversion"/>
  </si>
  <si>
    <t>建议升级 PHP 5.2 或者最新版本</t>
    <phoneticPr fontId="3" type="noConversion"/>
  </si>
  <si>
    <t>Apache &lt; 2.0.59 mod_rewrite LDAP Protocol URL Handling Overflow</t>
    <phoneticPr fontId="3" type="noConversion"/>
  </si>
  <si>
    <t xml:space="preserve">Apache版本低于 2.0.59 </t>
    <phoneticPr fontId="3" type="noConversion"/>
  </si>
  <si>
    <t>升级apache版本到2.0.59 以上
http://httpd.apache.org/</t>
    <phoneticPr fontId="3" type="noConversion"/>
  </si>
  <si>
    <t>Apache &lt; 2.0.55 Multiple Vulnerabilities</t>
    <phoneticPr fontId="3" type="noConversion"/>
  </si>
  <si>
    <t>Apache版本低于 2.0.55</t>
    <phoneticPr fontId="3" type="noConversion"/>
  </si>
  <si>
    <t>升级apache版本到2.0.55 以上
http://httpd.apache.org/</t>
    <phoneticPr fontId="3" type="noConversion"/>
  </si>
  <si>
    <t>Apache 2.0 &lt; 2.0.64 Multiple Vulnerabilities</t>
    <phoneticPr fontId="3" type="noConversion"/>
  </si>
  <si>
    <t>Apache版本低于 2.0.64</t>
    <phoneticPr fontId="3" type="noConversion"/>
  </si>
  <si>
    <t>升级apache版本到2.0.64 以上
http://httpd.apache.org/</t>
    <phoneticPr fontId="3" type="noConversion"/>
  </si>
  <si>
    <t>Apache 2.0 &lt; 2.0.65 Multiple Vulnerabilities</t>
    <phoneticPr fontId="3" type="noConversion"/>
  </si>
  <si>
    <t>WebLogic &lt; 8.1 SP3 Multiple Vulnerabilities</t>
    <phoneticPr fontId="3" type="noConversion"/>
  </si>
  <si>
    <t xml:space="preserve">WebLogic 版本低于 8.1 SP3 </t>
    <phoneticPr fontId="3" type="noConversion"/>
  </si>
  <si>
    <t>升级WebLogic 版本到8.1 SP3  以上</t>
    <phoneticPr fontId="3" type="noConversion"/>
  </si>
  <si>
    <t>Web Server Generic XSS</t>
    <phoneticPr fontId="3" type="noConversion"/>
  </si>
  <si>
    <t>Web 服务器通用类 XSS</t>
    <phoneticPr fontId="3" type="noConversion"/>
  </si>
  <si>
    <t>Web 服务器软件版本较低导致存在XSS漏洞</t>
    <phoneticPr fontId="3" type="noConversion"/>
  </si>
  <si>
    <t>升级Web 服务器软件</t>
    <phoneticPr fontId="3" type="noConversion"/>
  </si>
  <si>
    <t>Web Server Generic Cookie Injection</t>
    <phoneticPr fontId="3" type="noConversion"/>
  </si>
  <si>
    <t>Web 服务器通用类 Cookie 注入漏洞</t>
    <phoneticPr fontId="3" type="noConversion"/>
  </si>
  <si>
    <t>Web 服务器软件版本较低导致存在Cookie 注入漏洞</t>
    <phoneticPr fontId="3" type="noConversion"/>
  </si>
  <si>
    <t>WebLogic Crafted GET Request Hostname Disclosure</t>
    <phoneticPr fontId="3" type="noConversion"/>
  </si>
  <si>
    <t>WebLogic 主机名泄露漏洞</t>
    <phoneticPr fontId="3" type="noConversion"/>
  </si>
  <si>
    <t>当WebLogic 服务器处理请求生成一个重定向时，WebLogic 对公开其NetBIOS 主机名。</t>
    <phoneticPr fontId="3" type="noConversion"/>
  </si>
  <si>
    <t>升级 WebLogic 至最新版本</t>
    <phoneticPr fontId="3" type="noConversion"/>
  </si>
  <si>
    <t>WebLogic SSL Certificate Chain User Spoofing</t>
    <phoneticPr fontId="3" type="noConversion"/>
  </si>
  <si>
    <t>WebLogic SSL 证书链欺骗漏洞</t>
    <phoneticPr fontId="3" type="noConversion"/>
  </si>
  <si>
    <t>WebLogic 服务器对自签名证书验证存在漏洞，攻击者可通过自签名证书来伪造其他用户，从而进行中间人攻击。</t>
    <phoneticPr fontId="3" type="noConversion"/>
  </si>
  <si>
    <t>升级 WebLogic 至最新版本</t>
    <phoneticPr fontId="3" type="noConversion"/>
  </si>
  <si>
    <t>PHP 5.3 &lt; 5.3.4 Multiple Vulnerabilities</t>
    <phoneticPr fontId="3" type="noConversion"/>
  </si>
  <si>
    <t>PHP 版本低于  5.3.4</t>
    <phoneticPr fontId="3" type="noConversion"/>
  </si>
  <si>
    <t>建议升级 PHP 5.3.4 或者最新版本</t>
    <phoneticPr fontId="3" type="noConversion"/>
  </si>
  <si>
    <t>PHP 5.3 &lt; 5.3.6 Multiple Vulnerabilities</t>
    <phoneticPr fontId="3" type="noConversion"/>
  </si>
  <si>
    <t>PHP 5.3.x &lt; 5.3.13 CGI Query String Code Execution</t>
    <phoneticPr fontId="3" type="noConversion"/>
  </si>
  <si>
    <t>PHP 版本低于  5.3.13</t>
    <phoneticPr fontId="3" type="noConversion"/>
  </si>
  <si>
    <t>建议升级 PHP 5.3.13 或者最新版本</t>
    <phoneticPr fontId="3" type="noConversion"/>
  </si>
  <si>
    <t>PHP 5.3.x &lt; 5.3.14 Multiple Vulnerabilities</t>
    <phoneticPr fontId="3" type="noConversion"/>
  </si>
  <si>
    <t>PHP 5.3.x &lt; 5.3.22 Multiple Vulnerabilities</t>
    <phoneticPr fontId="3" type="noConversion"/>
  </si>
  <si>
    <t>PHP 版本低于  5.3.22</t>
    <phoneticPr fontId="3" type="noConversion"/>
  </si>
  <si>
    <t>建议升级 PHP 5.3.22 或者最新版本</t>
    <phoneticPr fontId="3" type="noConversion"/>
  </si>
  <si>
    <t>PHP 5.3.x &lt; 5.3.23 Information Disclosure</t>
    <phoneticPr fontId="3" type="noConversion"/>
  </si>
  <si>
    <t>PHP 5.3.x &lt; 5.3.26 Multiple Vulnerabilities</t>
    <phoneticPr fontId="3" type="noConversion"/>
  </si>
  <si>
    <t>PHP 版本低于  5.3.26</t>
    <phoneticPr fontId="3" type="noConversion"/>
  </si>
  <si>
    <t>建议升级 PHP 5.3.26 或者最新版本</t>
    <phoneticPr fontId="3" type="noConversion"/>
  </si>
  <si>
    <t>PHP 5.3.x &lt; 5.3.28 Multiple OpenSSL Vulnerabilities</t>
    <phoneticPr fontId="3" type="noConversion"/>
  </si>
  <si>
    <t>SNMP 'GETBULK' Reflection DDoS</t>
    <phoneticPr fontId="3" type="noConversion"/>
  </si>
  <si>
    <t>远程SNMP 进程响应'GETBULK'请求，返回的数据量大于正常值“MAX-repetitions'。攻击者可通过该安全问题，利用SNMP服务器来对其他服务器发动反射DDOS 攻击。</t>
    <phoneticPr fontId="3" type="noConversion"/>
  </si>
  <si>
    <t>[1] 如果不需要使用 SNMP，请关闭SNMP服务
[2] 修改 SNMP的默认团体名 'public'
[3] 限制允许访问该SNMP服务器的IP范围</t>
    <phoneticPr fontId="3" type="noConversion"/>
  </si>
  <si>
    <t>Sun ONE Application Server Upper Case Request JSP Source Disclosure</t>
    <phoneticPr fontId="3" type="noConversion"/>
  </si>
  <si>
    <t>Sun ONE Application Server源泄露漏洞</t>
    <phoneticPr fontId="3" type="noConversion"/>
  </si>
  <si>
    <t xml:space="preserve"> Windows 2000/XP平台下的Sun ONE Application Server 7.0存在漏洞。远程攻击者可以借助一个用大写“.JSP”扩展名代替小写.jsp的请求获得JSP源代码。</t>
    <phoneticPr fontId="3" type="noConversion"/>
  </si>
  <si>
    <t>补丁下载地址如下：
http://wwws.sun.com/software/download/app_servers.html</t>
    <phoneticPr fontId="3" type="noConversion"/>
  </si>
  <si>
    <t>WebLogic Servlets Multiple Vulnerabilities</t>
    <phoneticPr fontId="3" type="noConversion"/>
  </si>
  <si>
    <t>WebLogic Servlets SP包未安装</t>
    <phoneticPr fontId="3" type="noConversion"/>
  </si>
  <si>
    <t>WebLogic Servlets SP包未安装，存在多个漏洞未修复</t>
    <phoneticPr fontId="3" type="noConversion"/>
  </si>
  <si>
    <t>升级补丁包：
- Apply Service Pack 2 Rolling Patch 3 on WebLogic 6.0
- Apply Service Pack 4 on WebLogic 6.1
- Apply Service Pack 2 on WebLogic 7.0 or 7.0.0.1</t>
    <phoneticPr fontId="3" type="noConversion"/>
  </si>
  <si>
    <t>Web Server HTTP Dangerous Method Detection</t>
    <phoneticPr fontId="3" type="noConversion"/>
  </si>
  <si>
    <t>不安全HTTP 方法未禁用</t>
    <phoneticPr fontId="3" type="noConversion"/>
  </si>
  <si>
    <t>WebDAV （Web-based Distributed Authoring and Versioning） 一种基于 HTTP 1.1协议的通信协议。它扩展了HTTP 1.1，在GET、POST、HEAD等几个HTTP标准方法以外添加了一些新的方法，使应用程序可直接对Web Server直接读写，还可以支持文件的版本控制。不合理的权限配置导致任意用户可以通过PUT方法直接上传任意文件到有写权限的目录，例如攻击者可上传WebShell，从而控制网站。</t>
    <phoneticPr fontId="3" type="noConversion"/>
  </si>
  <si>
    <t xml:space="preserve">解决方案：
[1] 限制PUT、DELETE、SEARCH、COPY、MOVE等危险的方法的访问权限
[2] 如果不需要使用上述方法，应关闭方法
</t>
    <phoneticPr fontId="3" type="noConversion"/>
  </si>
  <si>
    <t>Apache Tomcat 7.0.x &lt; 7.0.55 Multiple OpenSSL Vulnerabilities</t>
    <phoneticPr fontId="3" type="noConversion"/>
  </si>
  <si>
    <t>Tomcat 版本低于  7.0.55</t>
    <phoneticPr fontId="3" type="noConversion"/>
  </si>
  <si>
    <t>建议升级 Tomcat 7.0.55 或者最新版本</t>
    <phoneticPr fontId="3" type="noConversion"/>
  </si>
  <si>
    <t>Apache mod_status /server-status Information Disclosure</t>
    <phoneticPr fontId="3" type="noConversion"/>
  </si>
  <si>
    <t>Apache mod_status /server-status 信息泄露漏洞</t>
    <phoneticPr fontId="3" type="noConversion"/>
  </si>
  <si>
    <t>Apache 未禁用或限制 URL '/server-status'的访问，从而任意用户可访问到 mod_status /server-status 相关信息。</t>
    <phoneticPr fontId="3" type="noConversion"/>
  </si>
  <si>
    <t>Apache 禁用或限制普通用户 对 mod_status /server-status的访问</t>
    <phoneticPr fontId="3" type="noConversion"/>
  </si>
  <si>
    <t>MS03-026: Microsoft RPC Interface Buffer Overrun (823980) (uncredentialed check)</t>
    <phoneticPr fontId="3" type="noConversion"/>
  </si>
  <si>
    <t>MS03-026: Microsoft Windows DCOM RPC接口长主机名远程缓冲区溢出漏洞</t>
    <phoneticPr fontId="3" type="noConversion"/>
  </si>
  <si>
    <t>Remote Procedure Call (RPC)是Windows操作系统使用的一种远程过程调用协议，RPC提供进程间交互通信机制，允许在某台计算机上运行的程序无缝地在远程系统上执行代码。协议本身源自OSF RPC协议，但增加了Microsoft特定的扩展。
    Microsoft的RPC部分在通过TCP/IP处理信息交换时存在问题，远程攻击者可以利用这个漏洞以本地系统权限在系统上执行任意指令。
    此漏洞是由于不正确处理畸形消息所致，漏洞影响使用RPC的DCOM接口。此接口处理由客户端机器发送给服务器的DCOM对象激活请求(如UNC路径)。攻击者成功利用此漏洞可以以本地系统权限执行任意指令。攻击者可以在系统上执行任意操作，如安装程序、查看或更改、删除数据或建立系统管理员权限的帐户。
    要利用这个漏洞，攻击者需要发送特殊形式的请求到远程机器上的135端口。</t>
    <phoneticPr fontId="3" type="noConversion"/>
  </si>
  <si>
    <t xml:space="preserve">Microsoft已经为此发布了一个安全公告(MS03-026)以及相应补丁: 
        MS03-026：Buffer Overrun In RPC Interface Could Allow Code Execution(Q823980) 
        链接：
        http://www.microsoft.com/technet/security/bulletin/MS03-026.asp </t>
    <phoneticPr fontId="3" type="noConversion"/>
  </si>
  <si>
    <t>HP StorageWorks MSA P2000 Default Credentials</t>
    <phoneticPr fontId="3" type="noConversion"/>
  </si>
  <si>
    <t>HP StorageWorks MSA P2000 默认账号口令</t>
    <phoneticPr fontId="3" type="noConversion"/>
  </si>
  <si>
    <t>HP StorageWorks是系列存储备份产品家族。 
HP StorageWorks MSA P2000 存在默认账号口令未修改。</t>
    <phoneticPr fontId="3" type="noConversion"/>
  </si>
  <si>
    <t>[1] 禁用不需要使用的账号
[2] 修改默认账号口令</t>
    <phoneticPr fontId="3" type="noConversion"/>
  </si>
  <si>
    <t>Nonexistent Page (404) Physical Path Disclosure</t>
    <phoneticPr fontId="3" type="noConversion"/>
  </si>
  <si>
    <t>不存在的页面 (404) 导致物理路径泄露</t>
    <phoneticPr fontId="3" type="noConversion"/>
  </si>
  <si>
    <t>修改默认错误页面，以免返回信息中包含敏感信息</t>
    <phoneticPr fontId="3" type="noConversion"/>
  </si>
  <si>
    <t>rexecd Service Detection</t>
    <phoneticPr fontId="3" type="noConversion"/>
  </si>
  <si>
    <t>检测到服务器正在运行rexecd 服务</t>
    <phoneticPr fontId="3" type="noConversion"/>
  </si>
  <si>
    <t xml:space="preserve">检测到服务器正在运行rexecd 服务。这项服务是设计允许用户通过网络远程执行命令。
然而，rexecd 未提供较好的身份验证方法，所以它可能被攻击者利用，从而远程执行恶意命令。
</t>
    <phoneticPr fontId="3" type="noConversion"/>
  </si>
  <si>
    <t>.svn/entries Disclosed via Web Server</t>
    <phoneticPr fontId="3" type="noConversion"/>
  </si>
  <si>
    <t>SVN 信息泄露漏洞</t>
    <phoneticPr fontId="3" type="noConversion"/>
  </si>
  <si>
    <t>SVN是Subversion的简称，是一个开放源代码的版本控制系统，相较于RCS、CVS，它采用了分支管理系统，它的设计目标就是取代CVS。主要用于在多人开发环境下的源码的维护，SVN目录如果被非法访问，攻击者可通过该目录获取敏感信息，从而利用这些信息进一步进行攻击。</t>
    <phoneticPr fontId="3" type="noConversion"/>
  </si>
  <si>
    <t>[1] 配置敏感文件的访问权限
[2] 或移除敏感文件到非Web应用的目录</t>
    <phoneticPr fontId="3" type="noConversion"/>
  </si>
  <si>
    <t>Resin viewfile Servlet file Parameter XSS</t>
    <phoneticPr fontId="3" type="noConversion"/>
  </si>
  <si>
    <t>Caucho Technology Resin viewfile 文件命令跨站脚本攻击漏洞</t>
    <phoneticPr fontId="3" type="noConversion"/>
  </si>
  <si>
    <t xml:space="preserve"> 3.0.25之前的Caucho Resin, 和3.1.4之前的 3.1.x 的viewfile 文件命令中存在跨站脚本攻击漏洞,远程攻击者可以通过文件参数注入任意web脚本或HTML。</t>
    <phoneticPr fontId="3" type="noConversion"/>
  </si>
  <si>
    <t>升级到Resin 3.0.25 和 3.1.4或以上</t>
    <phoneticPr fontId="3" type="noConversion"/>
  </si>
  <si>
    <t>Microsoft Windows SMB Guest Account Local User Access</t>
    <phoneticPr fontId="3" type="noConversion"/>
  </si>
  <si>
    <t>Microsoft Windows SMB Guest 账号本地用户访问漏洞</t>
    <phoneticPr fontId="3" type="noConversion"/>
  </si>
  <si>
    <t>服务器运行 SAMBA 守护进程，它可能允许攻击者以guest 权限登录操作系统</t>
    <phoneticPr fontId="3" type="noConversion"/>
  </si>
  <si>
    <t>[1] 禁用guest账号
[2] 配置组策略-计算机配置-windows设置-安全设置-本地策略-安全选项-网络访问：本地账户的共享和安全模式--经典 - 本地用户以自己的身份验证
[3] 在SAMBA配置中关闭允许guest 访问</t>
    <phoneticPr fontId="3" type="noConversion"/>
  </si>
  <si>
    <t>MS05-027: Vulnerability in SMB Could Allow Remote Code Execution (896422) (uncredentialed check)</t>
    <phoneticPr fontId="3" type="noConversion"/>
  </si>
  <si>
    <t>MS05-027：Microsoft SMB 远程缓冲区溢出漏洞</t>
    <phoneticPr fontId="3" type="noConversion"/>
  </si>
  <si>
    <t xml:space="preserve"> Microsoft SMB中存在远程缓冲区溢出漏洞，远程攻击者可以利用这个漏洞对服务器进行拒绝服务攻击或执行任意指令。 
    起因是用于验证某些入站的畸形SMB报文时存在问题，盲目信任客户端提交的数据，使用那些数据执行内存拷贝相关的操作，从而导致拒绝服务或执行指令。</t>
    <phoneticPr fontId="3" type="noConversion"/>
  </si>
  <si>
    <t>目前厂商已经发布了升级补丁以修复这个安全问题，补丁下载链接： 
        http://www.microsoft.com/technet/security/Bulletin/MS05-027.mspx</t>
    <phoneticPr fontId="3" type="noConversion"/>
  </si>
  <si>
    <t>Microsoft Windows SMB Service Enumeration via \srvsvc</t>
    <phoneticPr fontId="3" type="noConversion"/>
  </si>
  <si>
    <t>Microsoft Windows MSRPC 信息泄露漏洞</t>
    <phoneticPr fontId="3" type="noConversion"/>
  </si>
  <si>
    <t xml:space="preserve">   WinNT 4.0及Win2000 SP4 URP1之前版本中存在信息泄露漏洞。 
    由于在对匿名管道的处理上存在问题，攻击者可以利用空会话的硬编码命名管道及MSRPC属性匿名读取远程系统的应用程序和系统的事件日志。</t>
    <phoneticPr fontId="3" type="noConversion"/>
  </si>
  <si>
    <t>目前厂商已经发布了升级补丁以修复此安全问题，补丁获取链接： 
http://support.microsoft.com/kb/842209</t>
    <phoneticPr fontId="3" type="noConversion"/>
  </si>
  <si>
    <t>Microsoft Windows SMB svcctl MSRPC Interface SCM Service Enumeration</t>
    <phoneticPr fontId="3" type="noConversion"/>
  </si>
  <si>
    <t xml:space="preserve">    WinNT 4.0及Win2000 SP4 URP1之前版本中存在信息泄露漏洞。 
    由于在对匿名管道的处理上存在问题，攻击者可以利用空会话的硬编码命名管道及MSRPC属性匿名读取远程系统的应用程序和系统的事件日志。</t>
    <phoneticPr fontId="3" type="noConversion"/>
  </si>
  <si>
    <t>目前厂商已经发布了升级补丁以修复此安全问题，补丁获取链接： 
http://support.microsoft.com/kb/842209</t>
    <phoneticPr fontId="3" type="noConversion"/>
  </si>
  <si>
    <t>MS05-039: Vulnerability in Plug and Play Service Could Allow Remote Code Execution (899588) (uncredentialed check)</t>
    <phoneticPr fontId="3" type="noConversion"/>
  </si>
  <si>
    <t>MS05-039：Windows即插即用(PnP)功能 缓冲区溢出漏洞</t>
    <phoneticPr fontId="3" type="noConversion"/>
  </si>
  <si>
    <t>MS05-047: Plug and Play Remote Code Execution and Local Privilege Elevation (905749) (uncredentialed check)</t>
    <phoneticPr fontId="3" type="noConversion"/>
  </si>
  <si>
    <t>MS05-047: Microsoft Windows即插即用UMPNPMGR.DLL wsprintfW溢出漏洞</t>
    <phoneticPr fontId="3" type="noConversion"/>
  </si>
  <si>
    <t xml:space="preserve"> Microsoft Windows 2000 SP4， XP SP1 SP2 中的即插即用服务存在栈溢出漏洞。允许攻击者通过在注册表子键中构建带有多个'\'来触发wsprintfW函数溢出。 
        Microsoft Windows即插即用功能中存在缓冲区溢出漏洞。UMPNPMGR.DLL用于管理即插即用服务，为访问设备管理和通知服务提供RPC接口。UMPNPMGR代码包含有对wsprintfW的调用，用于在栈缓冲区中创建各种格式化字符串。在有些情况下仅验证用户输入是否相当于HKEY_LOCAL_MACHINE\SYSTEM\CurrentControlSet\Enum已有的子键。尽管这个注册表分支受到保护，但通过提供任意长度的连续反斜线(如"HTREE\ROOT\\\\0\\\\\\\\")可以欺骗注册表安全性。 </t>
    <phoneticPr fontId="3" type="noConversion"/>
  </si>
  <si>
    <t xml:space="preserve">目前厂商已经发布了升级补丁以修复此安全问题，补丁获取链接： 
        http://www.microsoft.com/technet/security/bulletin/MS05-047.mspx </t>
    <phoneticPr fontId="3" type="noConversion"/>
  </si>
  <si>
    <t>NFS Exported Share Information Disclosure</t>
    <phoneticPr fontId="3" type="noConversion"/>
  </si>
  <si>
    <t>NFS 共享信息泄露漏洞</t>
    <phoneticPr fontId="3" type="noConversion"/>
  </si>
  <si>
    <t>远程攻击者可以装载Ultrix或OSF中的NFS文件系统，即使它在访问列表中被否认。</t>
    <phoneticPr fontId="3" type="noConversion"/>
  </si>
  <si>
    <t>DNS Server Zone Transfer Information Disclosure (AXFR)</t>
    <phoneticPr fontId="3" type="noConversion"/>
  </si>
  <si>
    <t>DNS服务器区域传输漏洞</t>
    <phoneticPr fontId="3" type="noConversion"/>
  </si>
  <si>
    <t>DNS服务器存在漏洞。可以借助该漏洞导致区域传输。</t>
    <phoneticPr fontId="3" type="noConversion"/>
  </si>
  <si>
    <t>在“允许区域传送”配置“只允许到下列服务器”，指定要进行区域传送的服务器</t>
    <phoneticPr fontId="3" type="noConversion"/>
  </si>
  <si>
    <t>JBoss Enterprise Application Platform '/web-console' Authentication Bypass</t>
    <phoneticPr fontId="3" type="noConversion"/>
  </si>
  <si>
    <t>Red Hat JBoss企业应用平台多个漏洞</t>
    <phoneticPr fontId="3" type="noConversion"/>
  </si>
  <si>
    <t>Red Hat Jboss企业应用平台(即Jboss EAP或JBEAP)的JBossAs的Web Console(即web-console)只对GET和POST方法进行访问控制，远程攻击者可使用其它的方法通过未明请求获取敏感信息。</t>
    <phoneticPr fontId="3" type="noConversion"/>
  </si>
  <si>
    <t>目前厂商已经发布了升级补丁以修复此安全问题，补丁获取链接： 
http://www.jboss.org/</t>
    <phoneticPr fontId="3" type="noConversion"/>
  </si>
  <si>
    <t>JBoss JMX Console Unrestricted Access</t>
    <phoneticPr fontId="3" type="noConversion"/>
  </si>
  <si>
    <t>JBoss JMX 控制台访问未限制</t>
    <phoneticPr fontId="3" type="noConversion"/>
  </si>
  <si>
    <t>远程Web服务器使用的JBoss版本，它允许使用未经认证的访问JMX和/或Web控制台（用于管理JBoss和相应服务），远程攻击者可以利用此漏洞来获取应用程序的敏感信息，甚至能进一步控制服务器。</t>
    <phoneticPr fontId="3" type="noConversion"/>
  </si>
  <si>
    <t>限制用户对JBoss JMX 控制台的访问</t>
    <phoneticPr fontId="3" type="noConversion"/>
  </si>
  <si>
    <t>LDAP NULL BASE Search Access</t>
    <phoneticPr fontId="3" type="noConversion"/>
  </si>
  <si>
    <t>LDAP NULL BASE 搜索信息泄露漏洞</t>
    <phoneticPr fontId="3" type="noConversion"/>
  </si>
  <si>
    <t>Windows 活动目录在服务器上，允许未经身份验证 (NULL) 连接来连接到根 DSA 特定条目 （DSE）。这是由设计，以便遵守请求注释 (RFC) 2251年。用户可以使用这些空值连接用户枚举域命名上下文 （NC） 的潜在敏感信息的服务器。这包括域密码策略信息。</t>
    <phoneticPr fontId="3" type="noConversion"/>
  </si>
  <si>
    <t>在 LDAP服务器 关闭NULL BASE 请求</t>
    <phoneticPr fontId="3" type="noConversion"/>
  </si>
  <si>
    <t>临时解决方法：
如果您不能立刻安装补丁或者升级，建议您采取以下措施以降低威胁： 
* 在边界防火墙或者主机防火墙上限制不可信用户对Oracle Apache web server 80/TCP端口的访问。 
* 编辑$ORACLE_HOME$/apache/apache/conf/httpd.conf文件： 
  为了阻止访问globals.jsa文件，增加下列语句： 
         Order allow,deny 
         Deny from all 
  为了阻止访问.java文件，增加下列语句： 
         Order deny,allow 
         Deny from all 
   如果JSP文件保存在一个别名目录中(例如不是在"htdocs"的子目录下)，那么您必须增加下列语句： 
         Order deny,allow 
         Deny from all 
         上面的"dirname"是别名目录的目录名。
   厂商补丁：
   Oracle已经为此漏洞提供了相应补丁程序，建议您随时关注厂商主页以获取相关补丁：   
        http://metalink.oracle.com</t>
    <phoneticPr fontId="3" type="noConversion"/>
  </si>
  <si>
    <t>管理员可通过设计一个服务重定向文件，这文件可限制进入的带有“ReadDesign”标签的URLs，并转向一个当前错误页面。</t>
    <phoneticPr fontId="3" type="noConversion"/>
  </si>
  <si>
    <t>修改root默认密码，并且配置合理的密码策略</t>
    <phoneticPr fontId="3" type="noConversion"/>
  </si>
  <si>
    <t>升级OpenSSH版本至4.9及以上版本。
相关链接：
http://www.openssh.org/txt/release-4.9</t>
    <phoneticPr fontId="3" type="noConversion"/>
  </si>
  <si>
    <t>参考厂商发布的补丁包进行修复。
相关链接：
http://seclists.org/oss-sec/2014/q3/650
http://www.nessus.org/u?dacf7829
https://www.invisiblethreat.ca/2014/09/cve-2014-6271/</t>
    <phoneticPr fontId="3" type="noConversion"/>
  </si>
  <si>
    <t>参考厂商发布的补丁包进行修复。
相关链接：
http://www.securitytracker.com/alerts/2004/Jan/1008838.html</t>
    <phoneticPr fontId="3" type="noConversion"/>
  </si>
  <si>
    <t>SNMP Agent Default Community Names</t>
    <phoneticPr fontId="3" type="noConversion"/>
  </si>
  <si>
    <t>SNMP代理默认团体名</t>
    <phoneticPr fontId="3" type="noConversion"/>
  </si>
  <si>
    <t>远程攻击者可以利用这个值获得敏感信息，或进行部分配置操作。</t>
    <phoneticPr fontId="3" type="noConversion"/>
  </si>
  <si>
    <t>修改默认团体名</t>
    <phoneticPr fontId="3" type="noConversion"/>
  </si>
  <si>
    <t>HP/H3C and Huawei SNMP User Data Information Disclosure</t>
    <phoneticPr fontId="3" type="noConversion"/>
  </si>
  <si>
    <t>HP、H3C 和 Huawei SNMP用户数据信息泄露</t>
    <phoneticPr fontId="3" type="noConversion"/>
  </si>
  <si>
    <t>程序没有正确实现访问控制如在h3c-user.mib 2.0和hh3c-user.mib 2.0中的定义。通过带有只读社区的SNMP请求，远程认证攻击者利用该漏洞在UserInfoEntry值中发现凭证。</t>
    <phoneticPr fontId="3" type="noConversion"/>
  </si>
  <si>
    <t>目前厂商已经发布了升级补丁以修复此安全问题，补丁获取链接： 
        http://h20000.www2.hp.com/bizsupport/TechSupport/Document.jsp?objectID=c03515685</t>
    <phoneticPr fontId="3" type="noConversion"/>
  </si>
  <si>
    <t>SSLv3 Padding Oracle On Downgraded Legacy Encryption Vulnerability (POODLE)</t>
    <phoneticPr fontId="3" type="noConversion"/>
  </si>
  <si>
    <t>SSLv3 POODLE 安全漏洞</t>
    <phoneticPr fontId="3" type="noConversion"/>
  </si>
  <si>
    <t>支持SSLv3 协议的网站存在被中间人攻击的风险，“Poodle”攻击（全称为Padding Oracle On Downloaded Legacy Encryption）可以提取出SSL连接中的加密数据相应的明文信息。攻击者可以利用这个漏洞发动中间人攻击或解密受此影响的客户端之间的通信内容。</t>
    <phoneticPr fontId="3" type="noConversion"/>
  </si>
  <si>
    <t>禁用SSL 3.0</t>
    <phoneticPr fontId="3" type="noConversion"/>
  </si>
  <si>
    <t>MS14-066: Vulnerability in Schannel Could Allow Remote Code Execution (2992611) (uncredentialed check)</t>
    <phoneticPr fontId="3" type="noConversion"/>
  </si>
  <si>
    <t>MS14-066：Schannel 远程代码执行漏洞</t>
    <phoneticPr fontId="3" type="noConversion"/>
  </si>
  <si>
    <t>MS14-066 (CVE-2014-6321) 是存在于Microsoft的schannel.dll中的TLS堆缓冲区溢出漏洞。</t>
    <phoneticPr fontId="3" type="noConversion"/>
  </si>
  <si>
    <t>目前厂商已经发布了升级补丁以修复此安全问题，补丁获取链接： 
https://technet.microsoft.com/library/security/ms14-066</t>
    <phoneticPr fontId="3" type="noConversion"/>
  </si>
  <si>
    <t>TLS Padding Oracle Information Disclosure Vulnerability (TLS POODLE)</t>
    <phoneticPr fontId="3" type="noConversion"/>
  </si>
  <si>
    <t>TLS POODLE 安全漏洞</t>
    <phoneticPr fontId="3" type="noConversion"/>
  </si>
  <si>
    <t>TLS(Transport Layer Security，传输层安全协议)用于两个应用程序之间提供保密性和数据完整性。
　　本次漏洞影响TLS 1.2版本，攻击者可通过TLS1.2用中间人攻击方法绕过传输层加密机制窃取用户的信息。</t>
    <phoneticPr fontId="3" type="noConversion"/>
  </si>
  <si>
    <t>请根据当前设备或应用服务，联系对应厂商，获取TLS1.2的补丁升级程序</t>
    <phoneticPr fontId="3" type="noConversion"/>
  </si>
  <si>
    <t>Microsoft Windows XP Unsupported Installation Detection</t>
    <phoneticPr fontId="3" type="noConversion"/>
  </si>
  <si>
    <t>使用不安全的操作系统</t>
    <phoneticPr fontId="3" type="noConversion"/>
  </si>
  <si>
    <t>截至2014年4月8日微软不再提供该操作系统的支持，意味着将不会有新的安全补丁，所以存在较大的安全风险隐患。</t>
    <phoneticPr fontId="3" type="noConversion"/>
  </si>
  <si>
    <t>升级到厂商支持的操作系统版本</t>
    <phoneticPr fontId="3" type="noConversion"/>
  </si>
  <si>
    <t>PHP 5.4.x &lt; 5.4.35 'donote' DoS</t>
    <phoneticPr fontId="3" type="noConversion"/>
  </si>
  <si>
    <t>PHP版本低于5.4.35</t>
    <phoneticPr fontId="3" type="noConversion"/>
  </si>
  <si>
    <t>升级PHP版本至5.4.35及以上版本。</t>
    <phoneticPr fontId="3" type="noConversion"/>
  </si>
  <si>
    <t>PHP 5.4.x &lt; 5.4.36 'process_nested_data' RCE</t>
    <phoneticPr fontId="3" type="noConversion"/>
  </si>
  <si>
    <t>PHP 5.4.x &lt; 5.4.37 Multiple Vulnerabilities</t>
    <phoneticPr fontId="3" type="noConversion"/>
  </si>
  <si>
    <t>MS11-048: Vulnerability in SMB Server Could Allow Denial of Service (2536275) (remote check)</t>
    <phoneticPr fontId="3" type="noConversion"/>
  </si>
  <si>
    <t>目前厂商已经发布了升级补丁以修复此安全问题，补丁获取链接： 
https://technet.microsoft.com/library/security/ms11-048</t>
    <phoneticPr fontId="3" type="noConversion"/>
  </si>
  <si>
    <t>Dropbear SSH Server &lt; 2013.59 Multiple Vulnerabilities</t>
    <phoneticPr fontId="3" type="noConversion"/>
  </si>
  <si>
    <t xml:space="preserve">Dropbear SSH Server版本低于2013.59 </t>
    <phoneticPr fontId="3" type="noConversion"/>
  </si>
  <si>
    <t>Dropbear SSH Server版本较低，可能导致多个安全漏洞威胁。</t>
    <phoneticPr fontId="3" type="noConversion"/>
  </si>
  <si>
    <t>升级Dropbear SSH Server版本至2013.59 及以上版本。</t>
    <phoneticPr fontId="3" type="noConversion"/>
  </si>
  <si>
    <t>MS10-012: Vulnerabilities in SMB Could Allow Remote Code Execution (971468) (uncredentialed check)</t>
    <phoneticPr fontId="3" type="noConversion"/>
  </si>
  <si>
    <t>MS10-012：SMB远程代码执行漏洞</t>
    <phoneticPr fontId="3" type="noConversion"/>
  </si>
  <si>
    <t>升级补丁ms10-012
http://technet.microsoft.com/zh-CN/security/bulletin/ms10-012</t>
    <phoneticPr fontId="3" type="noConversion"/>
  </si>
  <si>
    <t>Microsoft Windows shlwapi.dll Malformed HTML Tag Handling Null Pointer DoS</t>
    <phoneticPr fontId="3" type="noConversion"/>
  </si>
  <si>
    <t>Windows shlwapi.dll 拒绝服务漏洞</t>
    <phoneticPr fontId="3" type="noConversion"/>
  </si>
  <si>
    <t>旧版本的shlwapi.dll文件在处理HTML form时，存在拒绝服务攻击漏洞。</t>
    <phoneticPr fontId="3" type="noConversion"/>
  </si>
  <si>
    <t>更新到最新版本的shlwapi.dll文件</t>
    <phoneticPr fontId="3" type="noConversion"/>
  </si>
  <si>
    <t>Microsoft Windows 2000 SP4 Update Rollup 1 Missing</t>
    <phoneticPr fontId="3" type="noConversion"/>
  </si>
  <si>
    <t>Micorsoft windows 2000 Sp4 累积更新包 安全模板设置漏洞</t>
    <phoneticPr fontId="3" type="noConversion"/>
  </si>
  <si>
    <t>Microsoft Windows 2000 SP4 Update Rollup 1之前版本的SECEDIT命令在使用安全模板设置文件夹的访问控制列表(ACL)时，没有在长文件夹条目后列出的文件夹上应用ACL，会导致安全许可低于模板的指定。</t>
    <phoneticPr fontId="3" type="noConversion"/>
  </si>
  <si>
    <t>建议升级操作系统到厂商所支持的版本</t>
    <phoneticPr fontId="3" type="noConversion"/>
  </si>
  <si>
    <t>Microsoft Windows SMB Blank Administrator Password</t>
    <phoneticPr fontId="3" type="noConversion"/>
  </si>
  <si>
    <t>Windows SMB 管理员账号空口令</t>
    <phoneticPr fontId="3" type="noConversion"/>
  </si>
  <si>
    <t>默认情况下administrator管理员账号为空口令</t>
    <phoneticPr fontId="3" type="noConversion"/>
  </si>
  <si>
    <t>设置符合一定强度的口令</t>
    <phoneticPr fontId="3" type="noConversion"/>
  </si>
  <si>
    <t>MS KB953839: Cumulative Security Update of ActiveX Kill Bits</t>
    <phoneticPr fontId="3" type="noConversion"/>
  </si>
  <si>
    <t>MS KB953839: 缺少 ActiveX Kill Bits安全更新</t>
    <phoneticPr fontId="3" type="noConversion"/>
  </si>
  <si>
    <t>未安装 kill bits for ActiveX controls 的安全补丁MS KB953839</t>
    <phoneticPr fontId="3" type="noConversion"/>
  </si>
  <si>
    <t>目前厂商已经发布了升级补丁以修复此安全问题，补丁获取链接： 
http://technet.microsoft.com/en-us/security/advisory/953839</t>
    <phoneticPr fontId="3" type="noConversion"/>
  </si>
  <si>
    <t>MS KB956391: Cumulative Security Update of ActiveX Kill Bits</t>
    <phoneticPr fontId="3" type="noConversion"/>
  </si>
  <si>
    <t>MS KB956391: 缺少 ActiveX Kill Bits安全更新</t>
    <phoneticPr fontId="3" type="noConversion"/>
  </si>
  <si>
    <t>未安装 kill bits for ActiveX controls 的安全补丁MS KB956391</t>
    <phoneticPr fontId="3" type="noConversion"/>
  </si>
  <si>
    <t>目前厂商已经发布了升级补丁以修复此安全问题，补丁获取链接： 
http://technet.microsoft.com/en-us/security/advisory/956391</t>
    <phoneticPr fontId="3" type="noConversion"/>
  </si>
  <si>
    <t>MS KB960715: Cumulative Security Update of ActiveX Kill Bits</t>
    <phoneticPr fontId="3" type="noConversion"/>
  </si>
  <si>
    <t>MS KB960715: 缺少 ActiveX Kill Bits安全更新</t>
    <phoneticPr fontId="3" type="noConversion"/>
  </si>
  <si>
    <t>未安装 kill bits for ActiveX controls 的安全补丁MS KB960715</t>
    <phoneticPr fontId="3" type="noConversion"/>
  </si>
  <si>
    <t>目前厂商已经发布了升级补丁以修复此安全问题，补丁获取链接： 
http://technet.microsoft.com/en-us/security/advisory/960715</t>
    <phoneticPr fontId="3" type="noConversion"/>
  </si>
  <si>
    <t>MS KB969898: Cumulative Security Update of ActiveX Kill Bits</t>
    <phoneticPr fontId="3" type="noConversion"/>
  </si>
  <si>
    <t>MS KB969898: 缺少 ActiveX Kill Bits安全更新</t>
    <phoneticPr fontId="3" type="noConversion"/>
  </si>
  <si>
    <t>未安装 kill bits for ActiveX controls 的安全补丁MS KB969898</t>
    <phoneticPr fontId="3" type="noConversion"/>
  </si>
  <si>
    <t>目前厂商已经发布了升级补丁以修复此安全问题，补丁获取链接： 
http://technet.microsoft.com/en-us/security/advisory/969898</t>
    <phoneticPr fontId="3" type="noConversion"/>
  </si>
  <si>
    <t>MS KB955759: Security Enhancements for the Indeo Codec</t>
    <phoneticPr fontId="3" type="noConversion"/>
  </si>
  <si>
    <t>MS KB955759: 缺少 Indeo Codec 安全更新</t>
    <phoneticPr fontId="3" type="noConversion"/>
  </si>
  <si>
    <t>Microsoft Windows 2000 SP4, XP SP2和SP3, 以及Server 2003 SP2中的Indeo32 codec中的ir32_32.dll 3.24.15.3，使远程攻击者可以借助一个多媒体文件中的畸形数据引起一个拒绝服务(堆崩溃)或执行任意代码。例如一个AVI文件。</t>
    <phoneticPr fontId="3" type="noConversion"/>
  </si>
  <si>
    <t>目前厂商已经发布了升级补丁以修复此安全问题，补丁获取链接： 
http://support.microsoft.com/kb/KB955759</t>
    <phoneticPr fontId="3" type="noConversion"/>
  </si>
  <si>
    <t>MS KB2269637: Insecure Library Loading Could Allow Remote Code Execution</t>
    <phoneticPr fontId="3" type="noConversion"/>
  </si>
  <si>
    <t>MS KB2269637: 不安全的库文件加载远程代码执行漏洞</t>
    <phoneticPr fontId="3" type="noConversion"/>
  </si>
  <si>
    <t>应用程序解析自己的当前工作目录的DLL文件实现方式不安全，如果一个恶意DLL与所需的DLL同名，且位于应用程序的当前工作目录，那么该恶意DLL将被加载。
攻击者可利用该漏洞来远程执行恶意代码。</t>
    <phoneticPr fontId="3" type="noConversion"/>
  </si>
  <si>
    <t>目前厂商已经发布了升级补丁以修复此安全问题，补丁获取链接： 
http://support.microsoft.com/kb/2264107</t>
    <phoneticPr fontId="3" type="noConversion"/>
  </si>
  <si>
    <t>Microsoft XML Parser (MSXML) and XML Core Services Unsupported</t>
    <phoneticPr fontId="3" type="noConversion"/>
  </si>
  <si>
    <t>使用不安全的 XML解析器</t>
    <phoneticPr fontId="3" type="noConversion"/>
  </si>
  <si>
    <t>当前所使用的Microsoft XML Parser (MSXML)或XML Core Services 的版本，厂商已不再提供支持。意味着将不会有新的安全补丁，所以存在较大的安全风险隐患。</t>
    <phoneticPr fontId="3" type="noConversion"/>
  </si>
  <si>
    <t>更新使用安全的Microsoft XML Parser (MSXML)或XML Core Services
http://support.microsoft.com/kb/269238</t>
    <phoneticPr fontId="3" type="noConversion"/>
  </si>
  <si>
    <t>Microsoft Windows Unquoted Service Path Enumeration</t>
    <phoneticPr fontId="3" type="noConversion"/>
  </si>
  <si>
    <t>Microsoft Windows未闭合服务路径枚举漏洞</t>
    <phoneticPr fontId="3" type="noConversion"/>
  </si>
  <si>
    <t>当服务的可执行路径包含空字符时，本地攻击者可借助恶意的程序利用该漏洞获取特权。</t>
    <phoneticPr fontId="3" type="noConversion"/>
  </si>
  <si>
    <t>目前厂商已经发布了升级补丁以修复此安全问题，补丁获取链接： 
http://www.symantec.com/security_response/securityupdates/detail.jsp?fid=security_advisory&amp;pvid=security_advisory&amp;year=&amp;suid=20130321_00
目前厂商已经发布了升级补丁以修复此安全问题，补丁获取链接： 
http://www.schneider-electric.com/site/home/index.cfm/ww/</t>
    <phoneticPr fontId="3" type="noConversion"/>
  </si>
  <si>
    <t>MS05-046: Vulnerability in the Client Service for NetWare Could Allow Remote Code Execution (899589) (uncredentialed check)</t>
    <phoneticPr fontId="3" type="noConversion"/>
  </si>
  <si>
    <t>MS05-046： Windows Netware CSNW 网络消息处理远程溢出漏洞</t>
    <phoneticPr fontId="3" type="noConversion"/>
  </si>
  <si>
    <t>Microsoft Windows 2000 SP4， XP SP1 and Sp2， Server 2003 SP1以及早些版本中的CSNW允许攻击者发送特制的网络消息，执行任意代码。 Microsoft Windows Netware客户端服务中存在缓冲区溢出漏洞。攻击者可以通过网络向受影响的系统发送特制的网络消息，导致执行任意代码。请注意默认下任何操作系统版本都没有安装CSNW。</t>
    <phoneticPr fontId="3" type="noConversion"/>
  </si>
  <si>
    <t>目前厂商已经发布了升级补丁以修复此安全问题，补丁获取链接： 
http://technet.microsoft.com/en-us/security/bulletin/ms05-046</t>
    <phoneticPr fontId="3" type="noConversion"/>
  </si>
  <si>
    <t>Unencrypted Telnet Server</t>
    <phoneticPr fontId="3" type="noConversion"/>
  </si>
  <si>
    <t>未加密的Telnet服务</t>
    <phoneticPr fontId="3" type="noConversion"/>
  </si>
  <si>
    <t>远程主机正运行着Telnet服务，此项服务明文传输，使用未加密的Telnet服务，登录名、密码及命令均采取明文传输，这使得中间人攻击者截取Telnet会话，获取登录凭证或其它敏感信息，并在服务器和客户端之间篡改报文。</t>
    <phoneticPr fontId="3" type="noConversion"/>
  </si>
  <si>
    <t>禁用Telnet服务，并使用SSH代替。</t>
    <phoneticPr fontId="3" type="noConversion"/>
  </si>
  <si>
    <t>ESXi 5.0 &lt; Build 1749766 Multiple Vulnerabilities (remote check)</t>
    <phoneticPr fontId="3" type="noConversion"/>
  </si>
  <si>
    <t>远程VMware ESXi主机存在多种类型漏洞</t>
    <phoneticPr fontId="3" type="noConversion"/>
  </si>
  <si>
    <t>远程主机ESXi版本过低，可能存在多个安全漏洞。</t>
    <phoneticPr fontId="3" type="noConversion"/>
  </si>
  <si>
    <t xml:space="preserve">安装补丁包ESXi500-201405001，相关链接：
http://www.vmware.com/security/advisories/VMSA-2014-0002.html  
https://www.vmware.com/security/advisories/VMSA-2015-0001.html  
http://kb.vmware.com/kb/2075521  </t>
    <phoneticPr fontId="3" type="noConversion"/>
  </si>
  <si>
    <t>SSL RC4 Cipher Suites Supported</t>
    <phoneticPr fontId="3" type="noConversion"/>
  </si>
  <si>
    <t>远程主机支持SSL RC4加密套件</t>
    <phoneticPr fontId="3" type="noConversion"/>
  </si>
  <si>
    <t>远程主机在一个或多个支持使用RC4密码套件，RC4密码是有缺陷的生成伪随机流的字节数,
如果明文重复加密(如HTTP cookie),攻击者能够获得许多(即数以百万计)明文密文配对,攻击者可以获得密文后，对比获得明文。</t>
    <phoneticPr fontId="3" type="noConversion"/>
  </si>
  <si>
    <t xml:space="preserve">重新设置受影响的应用程序，可能的话，避免使用RC4密钥算法，可以考虑给浏览器或WEB服务支持的带有AES-GCM 的TLS 1.2，相关链接：
http://www.nessus.org/u?217a3666  
http://cr.yp.to/talks/2013.03.12/slides.pdf  
http://www.isg.rhul.ac.uk/tls/  
http://www.imperva.com/docs/HII_Attacking_SSL_when_using_RC4.pdf  </t>
    <phoneticPr fontId="3" type="noConversion"/>
  </si>
  <si>
    <t>SSL/TLS Diffie-Hellman Modulus &lt;= 1024 Bits (LogJam)</t>
    <phoneticPr fontId="3" type="noConversion"/>
  </si>
  <si>
    <t>SSL/TLS Diffie-Hellman 密钥算法位数小于或等于1024位</t>
    <phoneticPr fontId="3" type="noConversion"/>
  </si>
  <si>
    <t>远程主机允许SSL / TLS连接的一个或多个Diffie-Hellman密钥算法位数小于或等于1024位。通过密码分析,第三方可以在很短的时间内找到共享密钥(根据算法位数大小和攻击者参考资料)。这可能允许攻击者恢复到明文或破坏连接的完整性。</t>
    <phoneticPr fontId="3" type="noConversion"/>
  </si>
  <si>
    <t xml:space="preserve">重新设置此项服务，或使用Diffie-Hellman 密码算法位数大于或等于2048位，相关链接：
http://weakdh.org/  </t>
    <phoneticPr fontId="3" type="noConversion"/>
  </si>
  <si>
    <t>SSL/TLS EXPORT_RSA &lt;= 512-bit Cipher Suites Supported (FREAK)</t>
    <phoneticPr fontId="3" type="noConversion"/>
  </si>
  <si>
    <t>SSL/TLS EXPORT_RSA密钥算法位数小于或等于512位</t>
    <phoneticPr fontId="3" type="noConversion"/>
  </si>
  <si>
    <t>远程主机运行着弱密钥算法，攻击者可以在短时间内破解密文。</t>
    <phoneticPr fontId="3" type="noConversion"/>
  </si>
  <si>
    <t xml:space="preserve">重新设置服务，或移除支持EXPORT_RSA的密钥层。
相关链接：
https://www.smacktls.com/#freak  
https://www.openssl.org/news/secadv_20150108.txt  
http://www.nessus.org/u?b78da2c4  </t>
    <phoneticPr fontId="3" type="noConversion"/>
  </si>
  <si>
    <t>SSL/TLS EXPORT_DHE &lt;= 512-bit Export Cipher Suites Supported (Logjam)</t>
    <phoneticPr fontId="3" type="noConversion"/>
  </si>
  <si>
    <t>SSL/TLS EXPORT_DHE密钥算法位数小于或等于512位</t>
    <phoneticPr fontId="3" type="noConversion"/>
  </si>
  <si>
    <t>远程主机运行的EXPORT_DHE密钥算法小于或等于512位，通过密文分析，第三方攻击者可以在短时间内获取共享密钥。</t>
    <phoneticPr fontId="3" type="noConversion"/>
  </si>
  <si>
    <t xml:space="preserve">重新设置服务，或移除支持EXPORT_DHE的密钥层。
相关链接：
https://weakdh.org/ </t>
    <phoneticPr fontId="3" type="noConversion"/>
  </si>
  <si>
    <t>Apache Tomcat 6.0.x &lt; 6.0.43 Multiple Vulnerabilities (POODLE)</t>
    <phoneticPr fontId="3" type="noConversion"/>
  </si>
  <si>
    <t>Apache Tomcat版本低于6.0.43，存在多个安全漏洞</t>
    <phoneticPr fontId="3" type="noConversion"/>
  </si>
  <si>
    <t>Apache Tomcat版本低于6.0.43，存在多个安全漏洞。</t>
    <phoneticPr fontId="3" type="noConversion"/>
  </si>
  <si>
    <t xml:space="preserve">升级Apache Tomcat 版本至6.0.43及以上。
相关链接：
http://tomcat.apache.org/tomcat-6.0-doc/changelog.html  
https://www.imperialviolet.org/2014/10/14/poodle.html  
https://www.openssl.org/~bodo/ssl-poodle.pdf  
https://tools.ietf.org/html/draft-ietf-tls-downgrade-scsv-00  </t>
    <phoneticPr fontId="3" type="noConversion"/>
  </si>
  <si>
    <t xml:space="preserve"> Default Password for FTP 'admin' Account</t>
    <phoneticPr fontId="3" type="noConversion"/>
  </si>
  <si>
    <t>FTP默认账户admin存在默认密码</t>
    <phoneticPr fontId="3" type="noConversion"/>
  </si>
  <si>
    <t>远程的FTP服务的admin账户存在默认密码password，攻击者可远程获得主机权限，发起更深一层的攻击。如果远程主机是NB1300系列路由器，这可能运行攻击者偷到WAN证书，甚至重新设置路由信息。</t>
    <phoneticPr fontId="3" type="noConversion"/>
  </si>
  <si>
    <t xml:space="preserve">更换admin账户默认密码。
相关链接：
http://archives.neohapsis.com/archives/bugtraq/2003-04/0202.html </t>
    <phoneticPr fontId="3" type="noConversion"/>
  </si>
  <si>
    <t>MySQL Protocol Remote User Enumeration</t>
    <phoneticPr fontId="3" type="noConversion"/>
  </si>
  <si>
    <t>MySQL协议远程用户枚举</t>
    <phoneticPr fontId="3" type="noConversion"/>
  </si>
  <si>
    <t>远程数据库服务器存在信息泄露漏洞，远程主机运行的MySQL或MariaDB版本存在用户枚举漏洞，远程的非认证的攻击者可利用这个获取有效数据库用户的名字，这些信息可允许攻击者发起更深一层攻击。</t>
    <phoneticPr fontId="3" type="noConversion"/>
  </si>
  <si>
    <t>Apache 2.4 &lt; 2.4.12 Multiple Vulnerabilities</t>
    <phoneticPr fontId="3" type="noConversion"/>
  </si>
  <si>
    <t>Apache版本低于2.4.12，存在多个安全漏洞</t>
    <phoneticPr fontId="3" type="noConversion"/>
  </si>
  <si>
    <t>Apache版本低于2.4.12，存在多个安全漏洞。</t>
    <phoneticPr fontId="3" type="noConversion"/>
  </si>
  <si>
    <t xml:space="preserve">确保受影响的模块没有被使用，或者升级Apache版本至2.4.12及以上。
相关链接：
http://www.apache.org/dist/httpd/CHANGES_2.4.12  
http://httpd.apache.org/security/vulnerabilities_24.html  </t>
    <phoneticPr fontId="3" type="noConversion"/>
  </si>
  <si>
    <t>OpenSSL 0.9.8 &lt; 0.9.8zd Multiple Vulnerabilities</t>
    <phoneticPr fontId="3" type="noConversion"/>
  </si>
  <si>
    <t>OpenSSL版本低于0.9.8zd，存在多个安全漏洞</t>
    <phoneticPr fontId="3" type="noConversion"/>
  </si>
  <si>
    <t>OpenSSL版本低于0.9.8zd，存在多个安全漏洞。</t>
    <phoneticPr fontId="3" type="noConversion"/>
  </si>
  <si>
    <t xml:space="preserve">升级OpenSSL版本至0.9.8zd 及以上。
相关链接：
https://www.openssl.org/news/openssl-0.9.8-notes.html  
https://www.openssl.org/news/secadv_20150108.txt  
https://www.openssl.org/news/vulnerabilities.html  
https://www.smacktls.com/#freak  </t>
    <phoneticPr fontId="3" type="noConversion"/>
  </si>
  <si>
    <t>OpenSSL 0.9.8 &lt; 0.9.8zf Multiple Vulnerabilities</t>
    <phoneticPr fontId="3" type="noConversion"/>
  </si>
  <si>
    <t>OpenSSL版本低于0.9.9zf，存在多个安全漏洞</t>
    <phoneticPr fontId="3" type="noConversion"/>
  </si>
  <si>
    <t xml:space="preserve">升级OpenSSL版本至0.9.8zf及以上。
相关链接：
https://www.openssl.org/news/secadv_20150319.txt </t>
    <phoneticPr fontId="3" type="noConversion"/>
  </si>
  <si>
    <t>MTA Open Mail Relaying Allowed</t>
    <phoneticPr fontId="3" type="noConversion"/>
  </si>
  <si>
    <t>MTA允许开放邮件中继功能</t>
    <phoneticPr fontId="3" type="noConversion"/>
  </si>
  <si>
    <t>调查下远程服务器是否需要邮件传送服务，如果不需要，参考产品文档或联系供应商重新配置服务，因此，确保服务使用适当的访问控制限制传输是必要的。</t>
    <phoneticPr fontId="3" type="noConversion"/>
  </si>
  <si>
    <t>OpenSSL 1.0.1 &lt; 1.0.1f Multiple Vulnerabilities</t>
    <phoneticPr fontId="3" type="noConversion"/>
  </si>
  <si>
    <t>OpenSSL版本低于1.0.1f，存在多个安全漏洞</t>
    <phoneticPr fontId="3" type="noConversion"/>
  </si>
  <si>
    <t>OpenSSL版本低于1.0.1f，存在多个安全漏洞。</t>
    <phoneticPr fontId="3" type="noConversion"/>
  </si>
  <si>
    <t>OpenSSL 1.0.1 &lt; 1.0.1g Multiple Vulnerabilities</t>
    <phoneticPr fontId="3" type="noConversion"/>
  </si>
  <si>
    <t>OpenSSL版本低于1.0.1g，存在多个安全漏洞</t>
    <phoneticPr fontId="3" type="noConversion"/>
  </si>
  <si>
    <t xml:space="preserve">升级OpenSSL版本至1.0.1g及以上。
相关链接：
http://heartbleed.com/  
http://eprint.iacr.org/2014/140  
http://www.openssl.org/news/vulnerabilities.html#2014-0076  
http://www.openssl.org/news/vulnerabilities.html#2014-0160  
http://www.mail-archive.com/openssl-announce@openssl.org/msg00131.html  
http://www.nessus.org/u?e4229df1  </t>
    <phoneticPr fontId="3" type="noConversion"/>
  </si>
  <si>
    <t>OpenSSL 1.0.1 &lt; 1.0.1h Multiple Vulnerabilities</t>
    <phoneticPr fontId="3" type="noConversion"/>
  </si>
  <si>
    <t>OpenSSL版本低于1.0.1h，存在多个安全漏洞</t>
    <phoneticPr fontId="3" type="noConversion"/>
  </si>
  <si>
    <t xml:space="preserve">升级OpenSSL版本至1.0.1h及以上。
相关链接：
http://www.openssl.org/news/secadv_20140605.txt  
http://www.openssl.org/news/vulnerabilities.html#CVE-2010-5298  
http://www.openssl.org/news/vulnerabilities.html#CVE-2014-0195  
http://www.openssl.org/news/vulnerabilities.html#CVE-2014-0198  
http://www.openssl.org/news/vulnerabilities.html#CVE-2014-0221  
http://www.openssl.org/news/vulnerabilities.html#CVE-2014-0224  
http://www.openssl.org/news/vulnerabilities.html#CVE-2014-3470  
http://ccsinjection.lepidum.co.jp/  
https://www.imperialviolet.org/2014/06/05/earlyccs.html  </t>
    <phoneticPr fontId="3" type="noConversion"/>
  </si>
  <si>
    <t>OpenSSL 1.0.1 &lt; 1.0.1i Multiple Vulnerabilities</t>
    <phoneticPr fontId="3" type="noConversion"/>
  </si>
  <si>
    <t>OpenSSL版本低于1.0.1i，存在多个安全漏洞</t>
    <phoneticPr fontId="3" type="noConversion"/>
  </si>
  <si>
    <t xml:space="preserve">升级OpenSSL版本至1.0.1i及以上。
相关链接：
https://www.openssl.org/news/openssl-1.0.1-notes.html  
https://www.openssl.org/news/secadv_20140806.txt  
https://www.openssl.org/news/vulnerabilities.html  </t>
    <phoneticPr fontId="3" type="noConversion"/>
  </si>
  <si>
    <t xml:space="preserve"> OpenSSL 1.0.1 &lt; 1.0.1j Multiple Vulnerabilities (POODLE)</t>
    <phoneticPr fontId="3" type="noConversion"/>
  </si>
  <si>
    <t>OpenSSL版本低于1.0.1j，存在多个安全漏洞</t>
    <phoneticPr fontId="3" type="noConversion"/>
  </si>
  <si>
    <t xml:space="preserve">升级OpenSSL版本至1.0.1j及以上。
相关链接：
https://www.openssl.org/news/openssl-1.0.1-notes.html  
https://www.openssl.org/news/secadv_20141015.txt  
https://www.openssl.org/news/vulnerabilities.html  
https://www.imperialviolet.org/2014/10/14/poodle.html  
https://www.openssl.org/~bodo/ssl-poodle.pdf  
https://tools.ietf.org/html/draft-ietf-tls-downgrade-scsv-00  </t>
    <phoneticPr fontId="3" type="noConversion"/>
  </si>
  <si>
    <t>OpenSSL 1.0.1 &lt; 1.0.1k Multiple Vulnerabilities</t>
    <phoneticPr fontId="3" type="noConversion"/>
  </si>
  <si>
    <t>OpenSSL版本低于1.0.1k，存在多个安全漏洞</t>
    <phoneticPr fontId="3" type="noConversion"/>
  </si>
  <si>
    <t xml:space="preserve">升级OpenSSL版本至1.0.1k及以上。
相关链接：
https://www.openssl.org/news/openssl-1.0.1-notes.html  
https://www.openssl.org/news/secadv_20150108.txt  
https://www.openssl.org/news/vulnerabilities.html  
https://www.smacktls.com/#freak  </t>
    <phoneticPr fontId="3" type="noConversion"/>
  </si>
  <si>
    <t>OpenSSL 1.0.1 &lt; 1.0.1m Multiple Vulnerabilities</t>
    <phoneticPr fontId="3" type="noConversion"/>
  </si>
  <si>
    <t>OpenSSL版本低于1.0.1m，存在多个安全漏洞</t>
    <phoneticPr fontId="3" type="noConversion"/>
  </si>
  <si>
    <t>OpenSSL版本低于1.0.1m，存在多个安全漏洞</t>
    <phoneticPr fontId="3" type="noConversion"/>
  </si>
  <si>
    <t xml:space="preserve">升级OpenSSL版本至1.0.1m及以上。
相关链接：
https://www.openssl.org/news/secadv_20150319.txt </t>
    <phoneticPr fontId="3" type="noConversion"/>
  </si>
  <si>
    <t>Oracle RDBMS 补丁包已经过期了</t>
    <phoneticPr fontId="3" type="noConversion"/>
  </si>
  <si>
    <t>远程主机的数据库系统补丁包已经过期。</t>
    <phoneticPr fontId="3" type="noConversion"/>
  </si>
  <si>
    <t>建议安装最新的补丁包。</t>
    <phoneticPr fontId="3" type="noConversion"/>
  </si>
  <si>
    <t>MS15-034: Vulnerability in HTTP.sys Could Allow Remote Code Execution (3042553) (uncredentialed check)</t>
    <phoneticPr fontId="3" type="noConversion"/>
  </si>
  <si>
    <t>MS15-034：HTTP.sys 远程代码执行漏洞</t>
    <phoneticPr fontId="3" type="noConversion"/>
  </si>
  <si>
    <t>远程执行代码漏洞存在于 HTTP 协议堆栈 (HTTP.sys) 中，当 HTTP.sys 未正确分析经特殊设计的 HTTP 请求时会导致此漏洞。成功利用此漏洞的攻击者可以在系统帐户的上下文中执行任意代码。</t>
    <phoneticPr fontId="3" type="noConversion"/>
  </si>
  <si>
    <t>目前厂商已经发布了升级补丁以修复此安全问题，补丁获取链接： 
http://technet.microsoft.com/security/bulletin/MS15-034</t>
    <phoneticPr fontId="3" type="noConversion"/>
  </si>
  <si>
    <t>Web Server Directory Traversal Arbitrary File Access</t>
    <phoneticPr fontId="3" type="noConversion"/>
  </si>
  <si>
    <t>web 服务器目录遍历漏洞</t>
    <phoneticPr fontId="3" type="noConversion"/>
  </si>
  <si>
    <t>低版本的 web 服务器存在目录遍历漏洞，攻击者可利用该漏洞遍历服务器上的任意文件。</t>
    <phoneticPr fontId="3" type="noConversion"/>
  </si>
  <si>
    <t>根据web服务器所使用的中间件，如IIS、apache、tomcat等等，更新中间件到最新版本。</t>
    <phoneticPr fontId="3" type="noConversion"/>
  </si>
  <si>
    <t>Samba NDR MS-RPC Request Heap-Based Remote Buffer Overflow</t>
    <phoneticPr fontId="3" type="noConversion"/>
  </si>
  <si>
    <t>Samba NDR MS-RPC请求远程堆溢出漏洞</t>
    <phoneticPr fontId="3" type="noConversion"/>
  </si>
  <si>
    <t>Samba是一套实现SMB(Server Messages Block)协议、跨平台进行文件共享和打印共享服务的程序。 
Samba的NDR函数实现上存在漏洞，远程攻击者可能利用此漏洞控制Samba服务器。 
        Samba没有正确地验证发送给多个RPC接口的RPC请求，在解析对LsarAddPrivilegesToAccount、DFSEnum、RFNPCNEX、NetSetFileSecurity和LsarLookupSids/LsarLookupSids2的请求时，堆分配是基于用户输入计算的，因此攻击者可以通过指定无效的值覆盖堆块，导致执行任意代码。</t>
    <phoneticPr fontId="3" type="noConversion"/>
  </si>
  <si>
    <t xml:space="preserve">Debian已经为此发布了一个安全公告(DSA-1291-1)以及相应补丁: 
DSA-1291-1：New samba packages fix multiple vulnerabilities 
链接： 
http://www.debian.org/security/2007/dsa-1291 </t>
    <phoneticPr fontId="3" type="noConversion"/>
  </si>
  <si>
    <t>JBoss Enterprise Application Platform '/jmx-console' Authentication Bypass</t>
    <phoneticPr fontId="3" type="noConversion"/>
  </si>
  <si>
    <t>JBoss企业应用平台JMX控制台存在安全绕过漏洞</t>
    <phoneticPr fontId="3" type="noConversion"/>
  </si>
  <si>
    <t xml:space="preserve">  JBoss Enterprise Application Platform WEB控制台(/web-console)缺少正确限制，攻击者提交没有指定GET或POST的HTTP请求绕过验证，访问系统。JBOSS在配置HTTP verbs时，访问控制的实现存在安全问题，导致如HEAD，PUT或DELETE等未在配置文件中允许的verb能够直接以jbossadmin身份调用GET处理器, 从而绕过认证。</t>
    <phoneticPr fontId="3" type="noConversion"/>
  </si>
  <si>
    <t xml:space="preserve">目前厂商已经发布了升级补丁以修复这个安全问题，补丁下载链接： 
http://kbase.redhat.com/faq/docs/DOC-30741 
http://xforce.iss.net/xforce/xfdb/58147 
http://secunia.com/advisories/39563/ 
http://www.securityfocus.com/bid/39710 
http://blog.mindedsecurity.com/2010/04/good-bye-critical-jboss-0day.html </t>
    <phoneticPr fontId="3" type="noConversion"/>
  </si>
  <si>
    <t>Mercury LoadRunner Agent server_ip_name Field Remote Buffer Overflow</t>
    <phoneticPr fontId="3" type="noConversion"/>
  </si>
  <si>
    <t>HP Mercury产品magnetproc.exe栈缓冲区溢出漏洞</t>
    <phoneticPr fontId="3" type="noConversion"/>
  </si>
  <si>
    <t xml:space="preserve">  HP Mercury是HP所收购的Mercury公司开发的IT管理软件。
  多个HP Mercury产品中绑定到TCP/54345端口上的magentproc.exe进程中存在栈溢出漏洞，远程攻击者可能利用此漏洞控制服务器。
  如果所解析的报文包含有超长的server_ip_name字段的话，mchan.dll库的strcpy()操作就会触发这个溢出，导致执行任意指令。</t>
    <phoneticPr fontId="3" type="noConversion"/>
  </si>
  <si>
    <t>惠普不再支持8.x版本，不再提供相应的修补程序。 
建议升级到最新9.x中的可用版本。</t>
    <phoneticPr fontId="3" type="noConversion"/>
  </si>
  <si>
    <t>SMB Use Host SID to Enumerate Local Users Without Credentials</t>
    <phoneticPr fontId="3" type="noConversion"/>
  </si>
  <si>
    <t>SMB 匿名枚举本地用户漏洞</t>
    <phoneticPr fontId="3" type="noConversion"/>
  </si>
  <si>
    <t xml:space="preserve"> Windows NT存在漏洞。远程攻击者借助空会话获得带LsaQueryInformationPolicy策略函数的领域SID列举所有用户该领域的表单和使用SID列举用户表单。</t>
    <phoneticPr fontId="3" type="noConversion"/>
  </si>
  <si>
    <t>禁止用户匿名访问，可通过注册表修改 RestrictAnonymous实现。</t>
    <phoneticPr fontId="3" type="noConversion"/>
  </si>
  <si>
    <t>Samba 'AndX' Request Heap-Based Buffer Overflow</t>
    <phoneticPr fontId="3" type="noConversion"/>
  </si>
  <si>
    <t>Samba 'AndX' 请求溢出漏洞</t>
    <phoneticPr fontId="3" type="noConversion"/>
  </si>
  <si>
    <t>目前厂商已经发布了升级补丁以修复这个安全问题，请到厂商的主页下载：
http://www.samba.org/</t>
    <phoneticPr fontId="3" type="noConversion"/>
  </si>
  <si>
    <t>Multiple Mail Server EXPN/VRFY Information Disclosure</t>
    <phoneticPr fontId="3" type="noConversion"/>
  </si>
  <si>
    <t>邮件服务器 EXPN/VRFY 信息泄露</t>
    <phoneticPr fontId="3" type="noConversion"/>
  </si>
  <si>
    <t>远程SMTP服务器能够对EXPN 或 VRFY 命令进行响应。EXPN命令可以用来找到邮件的接收地址的别名或收件人全名，VRFY命令可用于检查帐户的有效性。</t>
    <phoneticPr fontId="3" type="noConversion"/>
  </si>
  <si>
    <t>在配置文件 /etc/sendmail.cf 中添加以下内容
O PrivacyOptions=goaway</t>
    <phoneticPr fontId="3" type="noConversion"/>
  </si>
  <si>
    <t>HP Ignite-UX TFTP File Access Information Disclosure</t>
    <phoneticPr fontId="3" type="noConversion"/>
  </si>
  <si>
    <t>HP Ignite-UX TFTP 文件任意访问信息泄露</t>
    <phoneticPr fontId="3" type="noConversion"/>
  </si>
  <si>
    <t>远程 TFTP 服务器存在 HP Ignite-UX 文件允许任意用户访问，这些文件包含敏感信息，攻击者可利用这些进行下一步攻击。</t>
    <phoneticPr fontId="3" type="noConversion"/>
  </si>
  <si>
    <t>如果不需要使用该TFTP 服务器，建议关闭TFTP 服务；
如果需要使用该TFTP 服务器，建议设置白名单，指定相关IP允许访问该TFTP服务器。</t>
    <phoneticPr fontId="3" type="noConversion"/>
  </si>
  <si>
    <t>HP-UX ftpd PAM Authentication Configuration Weakness Authentication Bypass</t>
    <phoneticPr fontId="3" type="noConversion"/>
  </si>
  <si>
    <t>HP HP-UX FTP 远程权限提升漏洞</t>
    <phoneticPr fontId="3" type="noConversion"/>
  </si>
  <si>
    <t xml:space="preserve">  HP-UX是惠普以System V为基础所研发成的类UNIX操作系统。 
  HP-UX B.11.11版本中的wu-ftpd 2.4.2和ftpd存在权限提升漏洞。 
  该漏洞将分配uid 0到FTP客户端，这使得远程攻击者可以获得特权。 
  该情况出现在即使一个用户无密码，PAM身份认证也可以成功，比如当nsswitch.conf指定LDAP的密码消息时,试图登录LDAP帐户可以成功。</t>
    <phoneticPr fontId="3" type="noConversion"/>
  </si>
  <si>
    <t xml:space="preserve">目前厂商已经发布了升级补丁以修复此安全问题，补丁获取链接： 
        http://h20000.www2.hp.com/bizsupport/TechSupport/Document.jsp?objectID=c01525562 </t>
    <phoneticPr fontId="3" type="noConversion"/>
  </si>
  <si>
    <t>HP Onboard Administrator 多个安全漏洞</t>
    <phoneticPr fontId="3" type="noConversion"/>
  </si>
  <si>
    <t xml:space="preserve"> HP Onboard Administrator （OA） 3.50之前版本中存在漏洞。远程攻击者可利用该漏洞借助未明向量将用户重定向到任意网站进而执行钓鱼攻击。</t>
    <phoneticPr fontId="3" type="noConversion"/>
  </si>
  <si>
    <t xml:space="preserve">目前厂商已经发布了升级补丁以修复此安全问题，补丁获取链接： 
http://h20000.www2.hp.com/bizsupport/TechSupport/Document.jsp?objectID=c03263573 </t>
    <phoneticPr fontId="3" type="noConversion"/>
  </si>
  <si>
    <t>HP Onboard Administrator &lt; 4.22 Remote Information Disclosure</t>
    <phoneticPr fontId="3" type="noConversion"/>
  </si>
  <si>
    <t>HP Onboard Administrator版本低于4.22，存在远程信息泄露漏洞</t>
    <phoneticPr fontId="3" type="noConversion"/>
  </si>
  <si>
    <t>远程服务存在信息泄露漏洞，HP Onboard Administrator版本低于4.22，因此可能受到 OpenSSL相关漏洞影响，存在一个位置的错误，可能允许攻击者启用弱密钥算法，降低了中间人攻击的难度。</t>
    <phoneticPr fontId="3" type="noConversion"/>
  </si>
  <si>
    <t>升级版本至4.22及以上版本，相关链接：
http://www.nessus.org/u?7496652c</t>
    <phoneticPr fontId="3" type="noConversion"/>
  </si>
  <si>
    <t>HP System Management Homepage &lt; 7.0 Multiple Vulnerabilities</t>
    <phoneticPr fontId="3" type="noConversion"/>
  </si>
  <si>
    <t>HP系统管理主页版本低于7.0，存在多个安全漏洞</t>
    <phoneticPr fontId="3" type="noConversion"/>
  </si>
  <si>
    <t>远程WEB服务存在多个安全漏洞影响，例如cURL/libcURL HTTP Location:重新定向绕过安全限制漏洞。</t>
    <phoneticPr fontId="3" type="noConversion"/>
  </si>
  <si>
    <t>升级HP System Management Homepage版本至7.0及以上，相关链接：
http://www.nessus.org/u?a467ff94</t>
    <phoneticPr fontId="3" type="noConversion"/>
  </si>
  <si>
    <t>HP系统管理主页版本低于7.1.1，存在多个安全漏洞</t>
    <phoneticPr fontId="3" type="noConversion"/>
  </si>
  <si>
    <t>远程WEB服务存在多个安全漏洞影响，例如Xmlsoft Libxml2 xpath.c整数溢出漏洞。</t>
    <phoneticPr fontId="3" type="noConversion"/>
  </si>
  <si>
    <t>升级HP System Management Homepage版本至7.1.1及以上，相关链接：
http://www.nessus.org/u?541c7466
http://www.securityfocus.com/archive/1/523320/30/0/threaded</t>
    <phoneticPr fontId="3" type="noConversion"/>
  </si>
  <si>
    <t>HP System Management Homepage &lt; 7.2.0.14 iprange Parameter Code Execution</t>
    <phoneticPr fontId="3" type="noConversion"/>
  </si>
  <si>
    <t>HP系统管理主页版本低于7.2.0.14，"iprange"参数代码执行</t>
    <phoneticPr fontId="3" type="noConversion"/>
  </si>
  <si>
    <t>远程WEB服务存在代码执行漏洞，根据HP系统管理主页版本，低于7.2.0.14，可能受到代码执行漏洞攻击，此漏洞与“Iprange”参数请求“/proxy/DataValidation”有关。</t>
    <phoneticPr fontId="3" type="noConversion"/>
  </si>
  <si>
    <t>升级HP System Management Homepage版本至7.2.0.14 及以上，相关链接：
http://www.nessus.org/u?f2db75ce</t>
    <phoneticPr fontId="3" type="noConversion"/>
  </si>
  <si>
    <t>HP System Management Homepage ginkgosnmp.inc Command Injection</t>
    <phoneticPr fontId="3" type="noConversion"/>
  </si>
  <si>
    <t>HP系统管理主页ginkgosnmp.inc命令注入</t>
    <phoneticPr fontId="3" type="noConversion"/>
  </si>
  <si>
    <t>HP System Management Homepage是美国惠普（HP）公司发布的一套基于Web的界面。整合并简化了Windows、Lunux和HP-UX操作系统上对HP服务器的单系统管理过程。 HP System Management Homepage (SMH)中的ginkgosnmp.inc中存在漏洞。远程认证攻击者可通过向smhutil/snmpchp.php.en的PATH_INFO中发送shell元字符，从而利用该漏洞执行任意代码。</t>
    <phoneticPr fontId="3" type="noConversion"/>
  </si>
  <si>
    <t xml:space="preserve">目前厂商还没有提供此漏洞的相关补丁或者升级程序，建议使用此软件的用户随时关注厂商的主页以获取最新版本： 
http://www.hp.com/ </t>
    <phoneticPr fontId="3" type="noConversion"/>
  </si>
  <si>
    <t>HP系统管理主页版本低于7.3，存在多个安全漏洞</t>
    <phoneticPr fontId="3" type="noConversion"/>
  </si>
  <si>
    <t>HP SMH 7.3及之前的版本中存在信息泄露漏洞。远程攻击者可利用该漏洞获取敏感信息。</t>
    <phoneticPr fontId="3" type="noConversion"/>
  </si>
  <si>
    <t>HP System Management Homepage &lt; 7.2.4.1 / 7.3.3.1 OpenSSL Multiple Vulnerabilities</t>
    <phoneticPr fontId="3" type="noConversion"/>
  </si>
  <si>
    <t>HP系统管理主页版本低于7.2.4.1 / 7.3.3.1，OpenSSL存在多个安全漏洞</t>
    <phoneticPr fontId="3" type="noConversion"/>
  </si>
  <si>
    <t>远程HP系统管理主页版本存在多个安全漏洞影响，例如OpenSSL 竞争条件漏洞。</t>
    <phoneticPr fontId="3" type="noConversion"/>
  </si>
  <si>
    <t>HP系统管理主页版本低于7.4，存在多个安全漏洞</t>
    <phoneticPr fontId="3" type="noConversion"/>
  </si>
  <si>
    <t>远程HP系统管理主页版本存在多个安全漏洞影响，例如Haxx cURL/libcurl 安全绕过漏洞。</t>
    <phoneticPr fontId="3" type="noConversion"/>
  </si>
  <si>
    <t>升级HP System Management Homepage版本至7.4及以上，相关链接：
http://www.nessus.org/u?2d04bcb9
http://www.securityfocus.com/archive/1/533589/30/0/threaded</t>
    <phoneticPr fontId="3" type="noConversion"/>
  </si>
  <si>
    <t>ESXi 5.5 &lt; Build 1474526 File Descriptors Privilege Escalation (remote check)</t>
    <phoneticPr fontId="3" type="noConversion"/>
  </si>
  <si>
    <t>VMware ESXi 权限许可和访问控制漏洞</t>
    <phoneticPr fontId="3" type="noConversion"/>
  </si>
  <si>
    <t xml:space="preserve">  VMware ESX和ESXi都是美国威睿(VMware)公司的可直接安装在物理服务器上的服务器虚拟化平台。该平台支持将服务器划分成多个可同时运行的虚拟机，并提供服务器迁移、系统管理、应用程序备份和恢复等功能。 
VMware ESXi 4.0至5.5版本和ESX 4.0，4.1版本中存在权限许可和访问控制漏洞。本地攻击者可借助Virtual Machine Power User或Resource Pool Administrator角色执行带有(1)-flat，(2)-rdm或(3)-rdmp文件名的vCenter Server Add Existing Disk操作，利用该漏洞读取或修改任意文件。</t>
    <phoneticPr fontId="3" type="noConversion"/>
  </si>
  <si>
    <t xml:space="preserve">目前厂商已经发布了升级补丁以修复此安全问题，补丁获取链接： 
http://www.vmware.com/security/advisories/VMSA-2013-0016.html </t>
    <phoneticPr fontId="3" type="noConversion"/>
  </si>
  <si>
    <t>ESXi 5.5 &lt; Build 1746974 / 5.5 Update 1 &lt; Build 1746018 OpenSSL Library Multiple Vulnerabilities (including Heartbleed) (remote check)</t>
    <phoneticPr fontId="3" type="noConversion"/>
  </si>
  <si>
    <t>ESXi未更新补丁，存在多个安全漏洞（包括心脏流血）</t>
    <phoneticPr fontId="3" type="noConversion"/>
  </si>
  <si>
    <t>VMware ESXi host存在多个安全漏洞，例如OpenSSL ECDSA 加密问题漏洞、OpenSSL 缓冲区溢出漏洞。</t>
    <phoneticPr fontId="3" type="noConversion"/>
  </si>
  <si>
    <t xml:space="preserve">为ESXi 5.5应用补丁包ESXi550-201404420或 ESXi550-201404401，相关链接：http://kb.vmware.com/kb/2076665
http://heartbleed.com/
</t>
    <phoneticPr fontId="3" type="noConversion"/>
  </si>
  <si>
    <t>ESXi 5.5 &lt; Build 1881737 OpenSSL Library Multiple Vulnerabilities (remote check)</t>
    <phoneticPr fontId="3" type="noConversion"/>
  </si>
  <si>
    <t>ESXi未更新补丁至Build 1881737，OpenSSL库存在多个安全漏洞</t>
    <phoneticPr fontId="3" type="noConversion"/>
  </si>
  <si>
    <t>ESXi未更新补丁至Build 1881737，存在多个安全漏洞，例如OpenSSL 竞争条件漏洞（CVE-2010-5298）、OpenSSL‘do_ssl3_write’函数缓冲区溢出漏洞（CVE-2014-0198）等多个漏洞。</t>
    <phoneticPr fontId="3" type="noConversion"/>
  </si>
  <si>
    <t xml:space="preserve">为ESXi 5.5应用补丁包ESXi550-201406001，相关链接：
http://kb.vmware.com/kb/2077359
https://www.openssl.org/news/secadv_20140605.txt
</t>
    <phoneticPr fontId="3" type="noConversion"/>
  </si>
  <si>
    <t>ESXi 5.5 &lt; Build 1980513 glibc Library Multiple Vulnerabilities (remote check)</t>
    <phoneticPr fontId="3" type="noConversion"/>
  </si>
  <si>
    <t>ESXi未更新补丁至Build 1980513，glibc库存在多个安全漏洞</t>
    <phoneticPr fontId="3" type="noConversion"/>
  </si>
  <si>
    <t>ESXi未更新补丁至Build 1980513，存在多个安全漏洞，例如GNU C glibc ‘extend_buffers()’ 正则表达式处理拒绝服务漏洞（CVE-2013-0242）、GNU C Library “getaddrinfo()” 函数拒绝服务漏洞（CVE-2013-1914）。</t>
    <phoneticPr fontId="3" type="noConversion"/>
  </si>
  <si>
    <t xml:space="preserve">为ESXi 5.5应用补丁包ESXi550-201409101-SG，相关链接：
http://lists.vmware.com/pipermail/security-announce/2014/000260.html
</t>
    <phoneticPr fontId="3" type="noConversion"/>
  </si>
  <si>
    <t>ESXi 5.5 &lt; Build 2352327 Multiple Vulnerabilities (remote check)</t>
    <phoneticPr fontId="3" type="noConversion"/>
  </si>
  <si>
    <t>ESXi未更新补丁至Build 2352327，存在多个安全漏洞</t>
    <phoneticPr fontId="3" type="noConversion"/>
  </si>
  <si>
    <t>ESXi未更新补丁至Build 1980513，存在多个安全漏洞。</t>
    <phoneticPr fontId="3" type="noConversion"/>
  </si>
  <si>
    <t xml:space="preserve">为ESXi 5.5应用补丁包 ESXi550-201403102-SG和ESXi550-201501101-SG，相关链接：
https://www.vmware.com/security/advisories/VMSA-2015-0001.html
</t>
    <phoneticPr fontId="3" type="noConversion"/>
  </si>
  <si>
    <t>HP System Management Homepage &lt; 2.1.12 Unspecified XSS</t>
    <phoneticPr fontId="3" type="noConversion"/>
  </si>
  <si>
    <t>HP系统管理主页版本低于2.1.12，存在跨站脚本攻击</t>
    <phoneticPr fontId="3" type="noConversion"/>
  </si>
  <si>
    <t>HP System Management Homepage (HP SMH) 是一个基于 Web 的界面，它整合并简化了 Windows、Linux 和 HP-UX 操作系统上对 HP 服务器的单系统管理过程。Windows HP 系统管理主页 (SMH) 2.1.10 和 2.1.11中存在跨站脚本攻击漏洞，远程攻击者通过未明向量注入任意web脚本或HTML。</t>
    <phoneticPr fontId="3" type="noConversion"/>
  </si>
  <si>
    <t xml:space="preserve">升级HP系统管理主页版本至2.1.12及以上，相关链接：
http://www.securityfocus.com/advisories/14919
http://archives.neohapsis.com/archives/bugtraq/2008-07/0009.html
</t>
    <phoneticPr fontId="3" type="noConversion"/>
  </si>
  <si>
    <t>HP System Management Homepage &lt; 2.1.15.210 Unspecified XSS</t>
    <phoneticPr fontId="3" type="noConversion"/>
  </si>
  <si>
    <t>HP系统管理主页版本低于2.1.15.210，存在跨站脚本攻击</t>
    <phoneticPr fontId="3" type="noConversion"/>
  </si>
  <si>
    <t>Linux和Windows上的HP System Management Homepage (SMH)中存在跨站脚本攻击漏洞，远程攻击者可以通过未明向量来执行任意web脚本或HTML。</t>
    <phoneticPr fontId="3" type="noConversion"/>
  </si>
  <si>
    <t xml:space="preserve">目前厂商已经发布了升级补丁以修复这个安全问题，请关注官网，并及时更新版本。
http://www.hp.com/ </t>
    <phoneticPr fontId="3" type="noConversion"/>
  </si>
  <si>
    <t>HP System Management Homepage &lt; 3.0.1.73 Multiple Flaws</t>
    <phoneticPr fontId="3" type="noConversion"/>
  </si>
  <si>
    <t>HP系统管理主页版本低于3.0.1.73</t>
    <phoneticPr fontId="3" type="noConversion"/>
  </si>
  <si>
    <t>HP系统管理主页版本低于3.0.1.73，可能存在php 跨站脚本攻击漏洞(CVE-2008-5814）、OpenSSL 函数EVP_VerifyFinal 签名验证漏洞（CVE-2008-5077）、HP System Management Homepage未明跨站脚本攻击漏洞(CVE-2009-1418)。</t>
    <phoneticPr fontId="3" type="noConversion"/>
  </si>
  <si>
    <t>升级HP系统管理主页版本至3.0.1.73及以上，相关链接：
http://www.nessus.org/u?5252a6f9
http://www.nessus.org/u?e2a507a8</t>
    <phoneticPr fontId="3" type="noConversion"/>
  </si>
  <si>
    <t>HP System Management Homepage &lt; 6.0.0.96 / 6.0.0-95 Multiple Vulnerabilities</t>
    <phoneticPr fontId="3" type="noConversion"/>
  </si>
  <si>
    <t>HP系统管理主页版本低于 6.0.0.96 / 6.0.0-95，存在多个安全漏洞</t>
    <phoneticPr fontId="3" type="noConversion"/>
  </si>
  <si>
    <t>HP系统管理主页版本低于6.0.0.96 / 6.0.0-95，可能存在Namazu 'namazu.cgi'跨站脚本攻击漏洞（CVE-2008-1468）、libxml2库的xmlSAX2Characters()函数整数溢出漏洞(CVE-2008-4226)、PHP mbstring扩展堆溢出漏洞（CVE-2008-5557）、php 跨站脚本攻击漏洞（CVE-2008-5814）等安全漏洞。</t>
    <phoneticPr fontId="3" type="noConversion"/>
  </si>
  <si>
    <t>升级HP系统管理主页版本至6.0.0.96(Windows) / 6.0.0-95（Linux）及以上，相关链接：
http://www.procheckup.com/vulnerability_manager/vulnerabilities/pr09-15
http://archives.neohapsis.com/archives/bugtraq/2010-04/0207.html
http://archives.neohapsis.com/archives/bugtraq/2010-02/0048.html
http://www.nessus.org/u?2eb58026
http://www.nessus.org/u?399c92c8</t>
    <phoneticPr fontId="3" type="noConversion"/>
  </si>
  <si>
    <t>HP System Management Homepage &lt; 6.1.0.102 / 6.1.0-103 Multiple Vulnerabilities</t>
    <phoneticPr fontId="3" type="noConversion"/>
  </si>
  <si>
    <t>HP系统管理主页版本低于 6.1.0.102 / 6.1.0-103，存在多个安全漏洞</t>
    <phoneticPr fontId="3" type="noConversion"/>
  </si>
  <si>
    <t>HP系统管理主页版本低于 6.1.0.102 / 6.1.0-103，存在多个厂商TLS协议和SSL协议会话协商明文注入漏洞（CVE-2009-3555）。</t>
    <phoneticPr fontId="3" type="noConversion"/>
  </si>
  <si>
    <t>升级HP系统管理主页版本至6.1.0.102(Windows) / 6.1.0.103（Linux）及以上，相关链接：
http://archives.neohapsis.com/archives/bugtraq/2010-05/0141.html
http://www.nessus.org/u?4e8707ba</t>
    <phoneticPr fontId="3" type="noConversion"/>
  </si>
  <si>
    <t>HP System Management Homepage &lt; 6.2 Multiple Vulnerabilities</t>
    <phoneticPr fontId="3" type="noConversion"/>
  </si>
  <si>
    <t>s</t>
    <phoneticPr fontId="3" type="noConversion"/>
  </si>
  <si>
    <t>HP系统管理主页版本低于 6.2，存在多个安全漏洞：多个厂商TLS协议和SSL协议会话协商明文注入漏洞（CVE-2009-3555）、
PHP 'SESSION superglobal数组和session.save_path()'未明任意代码执行漏洞（CVE-2009-4143）、HP系统管理主页RedirectUrl参数URI重新定向漏洞（CVE-2010-1586）</t>
    <phoneticPr fontId="3" type="noConversion"/>
  </si>
  <si>
    <t>升级HP系统管理主页版本至6.2及以上，相关链接： 
http://www.securityfocus.com/archive/1/513684/30/0/threaded
http://www.securityfocus.com/archive/1/513771/30/0/threaded
http://www.securityfocus.com/archive/1/513840/30/0/threaded
http://www.securityfocus.com/archive/1/513917/30/0/threaded
http://www.securityfocus.com/archive/1/513918/30/0/threaded
http://www.securityfocus.com/archive/1/513920/30/0/threaded</t>
    <phoneticPr fontId="3" type="noConversion"/>
  </si>
  <si>
    <t>HP System Management Homepage &lt; 6.3 Multiple Vulnerabilities</t>
    <phoneticPr fontId="3" type="noConversion"/>
  </si>
  <si>
    <t>HP系统管理主页版本低于 6.3，存在多个安全漏洞</t>
    <phoneticPr fontId="3" type="noConversion"/>
  </si>
  <si>
    <t>HP系统管理主页版本低于6.3，存在多个安全漏洞，例如PHP堆栈消耗漏洞（CVE-2010-1917）、PHP var_export函数信息泄露漏洞（CVE-2010-2531）、OpenSSL客户端ssl3_get_key_exchange函数未明漏洞（CVE-2010-2939）、PHP 'stream.c'格式化字符串漏洞（CVE-2010-2950）、PHP ZipArchive::getArchiveComment函数输入验证漏洞(CVE-2010-3709)等</t>
    <phoneticPr fontId="3" type="noConversion"/>
  </si>
  <si>
    <t>升级HP系统管理主页版本至6.2及以上，相关链接：
http://www.securityfocus.com/archive/1/517597/30/0/threaded</t>
    <phoneticPr fontId="3" type="noConversion"/>
  </si>
  <si>
    <t>VMware Security Updates for vCenter Server (VMSA-2014-0006)</t>
    <phoneticPr fontId="3" type="noConversion"/>
  </si>
  <si>
    <t>Vmware vCenter Server安全更新(VMSA-2014-0006)</t>
    <phoneticPr fontId="3" type="noConversion"/>
  </si>
  <si>
    <t>远程主机安装了虚拟化管理应用程序，可能存在多个OpenSSL影响的安全问题。Vmware vCenter Server版本低于5.0Update 3a、 5.1 Update 2a或 5.5 Update 1b，存在多个OpenSSL安全问题，例如OpenSSL 竞争条件漏洞（CVE-2010-5298）、OpenSSL‘do_ssl3_write’函数缓冲区溢出漏洞（CVE-2014-0198）等</t>
    <phoneticPr fontId="3" type="noConversion"/>
  </si>
  <si>
    <t>更新VMware vCenter Server至5.0U3a、 5.1U2a或5.5U1b，相关链接：
http://www.vmware.com/security/advisories/VMSA-2014-0006.html
http://www.openssl.org/news/secadv_20140605.txt</t>
    <phoneticPr fontId="3" type="noConversion"/>
  </si>
  <si>
    <t>VMware Security Updates for vCenter Server (VMSA-2014-0008)</t>
    <phoneticPr fontId="3" type="noConversion"/>
  </si>
  <si>
    <t>Vmware vCenter Server安全更新(VMSA-2014-0008)</t>
    <phoneticPr fontId="3" type="noConversion"/>
  </si>
  <si>
    <t>远程主机安装了虚拟化管理应用程序，可能存在多个OpenSSL影响的安全问题。Vmware vCenter Server版本低于5.0Update 3c、 5.1 Update 3或 5.5 Update 2，存在多个安全问题，例如Apache Struts 输入验证漏洞（CVE-2014-0114）、Apache Tomcat XML外部实体信息泄露漏洞（CVE-2013-4590）、Apache Tomcat 输入验证漏洞（CVE-2013-4322）等</t>
    <phoneticPr fontId="3" type="noConversion"/>
  </si>
  <si>
    <t>更新VMware vCenter Server至5.5u2 (5.5.0 build-2001466) / 5.1u3
(5.1.0 build-2306353) / 5.0u3c (5.0.0 build-2210222)，相关链接：
http://www.vmware.com/security/advisories/VMSA-2014-0008.html
http://lists.vmware.com/pipermail/security-announce/2014/000280.html</t>
    <phoneticPr fontId="3" type="noConversion"/>
  </si>
  <si>
    <t>Vmware vCenter Server安全更新(VMSA-2014-0012)</t>
    <phoneticPr fontId="3" type="noConversion"/>
  </si>
  <si>
    <t>远程主机安装了虚拟化管理应用程序，可能存在多个OpenSSL影响的安全问题。Vmware vCenter Server版本低于5.0 Update 3c、 5.1 Update 3或 5.5 Update 2，存在多个安全问题，可能会引起中间人攻击。</t>
    <phoneticPr fontId="3" type="noConversion"/>
  </si>
  <si>
    <t>更新VMware vCenter Server至5.5u2 (5.5.0 build-2001466) / 5.1u3
(5.1.0 build-2306353) / 5.0u3c (5.0.0 build-2210222)，相关链接：
http://www.vmware.com/security/advisories/VMSA-2014-0012.html
http://lists.vmware.com/pipermail/security-announce/2014/000283.html</t>
    <phoneticPr fontId="3" type="noConversion"/>
  </si>
  <si>
    <t>VMware Security Updates for vCenter Server (VMSA-2015-0001)</t>
    <phoneticPr fontId="3" type="noConversion"/>
  </si>
  <si>
    <t>Vmware vCenter Server安全更新(VMSA-2015-0001)</t>
    <phoneticPr fontId="3" type="noConversion"/>
  </si>
  <si>
    <t>远程主机安装了虚拟化管理应用程序，可能存在多个OpenSSL影响的安全问题。Vmware vCenter Server版本低于5.5 Update 2d，存在多个安全问题，可能引起内存信息泄露、中间人攻击等。</t>
    <phoneticPr fontId="3" type="noConversion"/>
  </si>
  <si>
    <t>更新VMware vCenter Server至5.0U3a、 5.1U2a或5.5U1b，相关链接：
http://www.vmware.com/security/advisories/VMSA-2015-0001.html
https://www.imperialviolet.org/2014/10/14/poodle.html
https://www.openssl.org/~bodo/ssl-poodle.pdf
https://tools.ietf.org/html/draft-ietf-tls-downgrade-scsv-00</t>
    <phoneticPr fontId="3" type="noConversion"/>
  </si>
  <si>
    <t>IBM Lotus Domino iCalendar邮件地址解析栈溢出漏洞</t>
    <phoneticPr fontId="3" type="noConversion"/>
  </si>
  <si>
    <t>Lotus Domino是集电子邮件、文档数据库、快速应用开发技术以及Web技术为一体的电子邮件与群集平台。 
IBM Lotus Domino 8.0.2 FP5之前的8.0.x版本以及8.5.1 FP2之前的8.5.x版本的服务器的nrouter.exe服务中的nnotes.dll文件的MailCheck821Address函数中存在基于栈的缓冲区溢出漏洞。远程攻击者可以借助超长电子邮件地址执行任意代码，该邮件地址位于iCalendar calendar-invitation电子邮件消息中的ORGANIZER:mailto头中。</t>
    <phoneticPr fontId="3" type="noConversion"/>
  </si>
  <si>
    <t xml:space="preserve">目前厂商已经发布了升级补丁以修复此安全问题，补丁获取链接： 
http://www-01.ibm.com/support/docview.wss?uid=swg21446515 </t>
    <phoneticPr fontId="3" type="noConversion"/>
  </si>
  <si>
    <t>MS04-007: ASN.1 Vulnerability Could Allow Code Execution (828028) (uncredentialed check) (NTLM)</t>
    <phoneticPr fontId="3" type="noConversion"/>
  </si>
  <si>
    <t xml:space="preserve">MS04-007: Microsoft ASN.1库远程代码可执行漏洞 </t>
    <phoneticPr fontId="3" type="noConversion"/>
  </si>
  <si>
    <t>在Microsoft ASN.1库中存在的安全漏洞可能允许在受影响系统中执行代码。这个漏洞的起因是Microsoft ASN.1库中未检查的缓冲区，这个缓冲区可能导致缓冲区溢出。成功利用这个缓冲区溢出漏洞的攻击者可能在受影响系统中以系统权限执行任意代码。然后攻击者就可以在系统中采取任何行为，包括安装程序，浏览数据，更改数据，删除数据，或以完全权限创建新帐号。</t>
    <phoneticPr fontId="3" type="noConversion"/>
  </si>
  <si>
    <t>Microsoft已为Windows NT, 2000, XP, and 2003平台发布补丁修复包，相关链接：
http://technet.microsoft.com/en-us/security/bulletin/ms04-007</t>
    <phoneticPr fontId="3" type="noConversion"/>
  </si>
  <si>
    <t>Apache mod_wsgi &lt; 3.4 Remote Information Disclosure</t>
    <phoneticPr fontId="3" type="noConversion"/>
  </si>
  <si>
    <t>Apache mod_wsgi版本低于3.4，远程信息泄露漏洞</t>
    <phoneticPr fontId="3" type="noConversion"/>
  </si>
  <si>
    <t>Apache mod_wsgi版本低于3.4，存在远程信息泄露漏洞，这个漏洞是由于处理损坏的'Response Content-Type'头引起的，远程攻击者可以访问内存块里的敏感信息。</t>
    <phoneticPr fontId="3" type="noConversion"/>
  </si>
  <si>
    <t>升级mod_wsgi版本至3.4及以上，相关链接：
http://www.nessus.org/u?e799d52b</t>
    <phoneticPr fontId="3" type="noConversion"/>
  </si>
  <si>
    <t>Apache mod_wsgi &lt; 3.5 Apache Process Privilege Escalation</t>
    <phoneticPr fontId="3" type="noConversion"/>
  </si>
  <si>
    <t>Apache mod_wsgi 版本低于3.5，Apache进程权限升级漏洞</t>
    <phoneticPr fontId="3" type="noConversion"/>
  </si>
  <si>
    <t>远程主机WEB服务模块存在权限可升级漏洞，通过“setuid”返回的错误代码处理不当，本地攻击者通过处理“setuid”运行的进程结果，获得权限提升。</t>
    <phoneticPr fontId="3" type="noConversion"/>
  </si>
  <si>
    <t>升级mod_wsgi版本至3.5及以上，相关链接：
http://www.nessus.org/u?b35a2a41</t>
    <phoneticPr fontId="3" type="noConversion"/>
  </si>
  <si>
    <t>Apache mod_wsgi &lt; 4.2.4 Privilege Dropping Privilege Escalation</t>
    <phoneticPr fontId="3" type="noConversion"/>
  </si>
  <si>
    <t>Apache mod_wsgi 版本低于4.2.4，权限提升漏洞</t>
    <phoneticPr fontId="3" type="noConversion"/>
  </si>
  <si>
    <t>远程主机WEB服务模块存在权限可升级漏洞，当尝试降低组权限的时候， 'setgid'、 'setgroups'和'initgroups' 错误会发生，即可能触发此类问题，mod_wsgi继续以root权限运行，而不是放弃权限，本地攻击者即有可能获得特殊权限。</t>
    <phoneticPr fontId="3" type="noConversion"/>
  </si>
  <si>
    <t>升级mod_wsgi版本至4.2.4及以上，并修复补丁，相关链接：
http://www.nessus.org/u?e7a37c36
http://www.nessus.org/u?49332efe</t>
    <phoneticPr fontId="3" type="noConversion"/>
  </si>
  <si>
    <t>IPMI v2.0 Password Hash Disclosure</t>
    <phoneticPr fontId="3" type="noConversion"/>
  </si>
  <si>
    <t>IPMI v2.0密码哈希泄露漏洞</t>
    <phoneticPr fontId="3" type="noConversion"/>
  </si>
  <si>
    <t>IPMI（Intelligent Platform Management Interface，智能平台管理接口）是美国英特尔（Intel）、戴尔（DELL）、惠普（HP）及日本NEC公司共同推出的一个使硬件管理具备“智能化”的新一代通用接口标准。它提供监视、控制和自动回报大量服务器的运作状况的功能。 
IPMI 2.0版本规范支持的RMCP+ Authenticated Key-Exchange Protocol (RAKP)身份认证中存在漏洞。远程攻击者可通过获得来自BMC响应的RAKP消息2中的HMAC，利用该漏洞获得密码哈希值，实施离线口令猜测攻击。</t>
    <phoneticPr fontId="3" type="noConversion"/>
  </si>
  <si>
    <t xml:space="preserve">   目前厂商还没有提供此漏洞的相关补丁或者升级程序，建议使用此软件的用户随时关注厂商的主页以获取最新版本： 
        https://community.rapid7.com/community/metasploit/blog/2013/07/02/a-penetration-testers-guide-to-ipmi </t>
    <phoneticPr fontId="3" type="noConversion"/>
  </si>
  <si>
    <t>Apache Tomcat 7.0.x &lt; 7.0.57 Multiple Vulnerabilities (POODLE)</t>
    <phoneticPr fontId="3" type="noConversion"/>
  </si>
  <si>
    <t>Apache Tomcat版本低于7.0.57，存在多个安全漏洞</t>
    <phoneticPr fontId="3" type="noConversion"/>
  </si>
  <si>
    <t xml:space="preserve">更新Apache Tomcat版本至7.0.57及以上，相关链接：
http://tomcat.apache.org/tomcat-7.0-doc/changelog.html  
https://www.imperialviolet.org/2014/10/14/poodle.html  
https://www.openssl.org/~bodo/ssl-poodle.pdf  
https://tools.ietf.org/html/draft-ietf-tls-downgrade-scsv-00  </t>
    <phoneticPr fontId="3" type="noConversion"/>
  </si>
  <si>
    <t>Oracle数据库2012年10月紧急补丁更新</t>
    <phoneticPr fontId="3" type="noConversion"/>
  </si>
  <si>
    <t>Oracle数据库服务未修复2012年10月份的补丁包（CPU），核心RDBMS可能存在安全问题。</t>
    <phoneticPr fontId="3" type="noConversion"/>
  </si>
  <si>
    <t>应用2012年10月份的补丁包（cpu），相关链接：
http://www.securityfocus.com/archive/1/525765/30/0/threaded
http://www.securityfocus.com/archive/1/525766/30/0/threaded
http://www.nessus.org/u?1cef09be</t>
    <phoneticPr fontId="3" type="noConversion"/>
  </si>
  <si>
    <t>Oracle Database, January 2013 Critical Patch Update</t>
    <phoneticPr fontId="3" type="noConversion"/>
  </si>
  <si>
    <t>Oracle数据库2013年1月紧急补丁更新</t>
    <phoneticPr fontId="3" type="noConversion"/>
  </si>
  <si>
    <t>Oracle数据库服务未修复2013年1月份的补丁包（CPU），Oracle空间及企业管理基础平台可能存在安全问题。</t>
    <phoneticPr fontId="3" type="noConversion"/>
  </si>
  <si>
    <t xml:space="preserve">应用2013年1月份的补丁包（cpu），相关链接：
http://www.securityfocus.com/archive/1/525775/30/0/threaded
http://www.securityfocus.com/archive/1/525776/30/0/threaded
http://www.securityfocus.com/archive/1/525779/30/0/threaded
http://www.securityfocus.com/archive/1/525782/30/0/threaded
http://www.securityfocus.com/archive/1/525783/30/0/threaded
http://www.securityfocus.com/archive/1/525784/30/0/threaded
http://www.securityfocus.com/archive/1/525786/30/0/threaded
http://www.nessus.org/u?b56cce0c </t>
    <phoneticPr fontId="3" type="noConversion"/>
  </si>
  <si>
    <t>Oracle Database, April 2013 Critical Patch Update</t>
    <phoneticPr fontId="3" type="noConversion"/>
  </si>
  <si>
    <t>Oracle数据库2013年4月紧急补丁更新</t>
    <phoneticPr fontId="3" type="noConversion"/>
  </si>
  <si>
    <t>Oracle数据库服务未修复2013年4月份的补丁包（CPU），工作负载管理器和网络层面可能存在安全问题。</t>
    <phoneticPr fontId="3" type="noConversion"/>
  </si>
  <si>
    <t>应用2013年4月份的补丁包（cpu），相关链接：
http://www.nessus.org/u?028971b4</t>
    <phoneticPr fontId="3" type="noConversion"/>
  </si>
  <si>
    <t>Oracle Database, April 2012 Critical Patch Update</t>
    <phoneticPr fontId="3" type="noConversion"/>
  </si>
  <si>
    <t>Oracle数据库2012年4月紧急补丁更新</t>
    <phoneticPr fontId="3" type="noConversion"/>
  </si>
  <si>
    <t>Oracle数据库服务未修复2012年4月份的补丁包（CPU），核心RDBMS、Oracle空间、OCI、企业管理基础平台及应用表达层面可能存在安全问题。</t>
    <phoneticPr fontId="3" type="noConversion"/>
  </si>
  <si>
    <t xml:space="preserve">应用2012年4月份的补丁包（cpu），相关链接：
http://www.nessus.org/u?b9e3b595
http://www.nessus.org/u?a38b382b
http://www.nessus.org/u?9865fa8a </t>
    <phoneticPr fontId="3" type="noConversion"/>
  </si>
  <si>
    <t>Oracle Database, October 2011 Critical Patch Update</t>
    <phoneticPr fontId="3" type="noConversion"/>
  </si>
  <si>
    <t>Oracle数据库2011年10月紧急补丁更新</t>
    <phoneticPr fontId="3" type="noConversion"/>
  </si>
  <si>
    <t>Oracle数据库服务未修复2011年10月份的补丁包（CPU），Oracle、应用表达层面、核心RDBMS、数据库层面可能存在安全问题。</t>
    <phoneticPr fontId="3" type="noConversion"/>
  </si>
  <si>
    <t>应用2012年4月份的补丁包（cpu），相关链接：
http://www.oracle.com/technetwork/topics/security/cpuoct2011-330135.html</t>
    <phoneticPr fontId="3" type="noConversion"/>
  </si>
  <si>
    <t>Oracle Database, April 2007 Critical Patch Update</t>
    <phoneticPr fontId="3" type="noConversion"/>
  </si>
  <si>
    <t>Oracle数据库2007年4月紧急补丁更新</t>
    <phoneticPr fontId="3" type="noConversion"/>
  </si>
  <si>
    <t>Oracle数据库服务未修复2007年4月份的补丁包（CPU），数据库认证、Oracle代理、应用表达层面、核心RDBMS、升级等层面可能存在安全问题。</t>
    <phoneticPr fontId="3" type="noConversion"/>
  </si>
  <si>
    <t>应用2007年4月份的补丁包（cpu），相关链接：
http://www.nessus.org/u?e64d5c5a</t>
    <phoneticPr fontId="3" type="noConversion"/>
  </si>
  <si>
    <t>Oracle Database, October 2009 Critical Patch Update</t>
    <phoneticPr fontId="3" type="noConversion"/>
  </si>
  <si>
    <t>Oracle数据库2009年10月紧急补丁更新</t>
    <phoneticPr fontId="3" type="noConversion"/>
  </si>
  <si>
    <t>Oracle数据库服务未修复2009年10月份的补丁包（CPU），数据库认证、Oracle代理、应用表达层面、核心RDBMS、升级等层面可能存在安全问题。</t>
    <phoneticPr fontId="3" type="noConversion"/>
  </si>
  <si>
    <t>应用2009年10月份的补丁包（cpu），相关链接：
http://www.nessus.org/u?bc444d31</t>
    <phoneticPr fontId="3" type="noConversion"/>
  </si>
  <si>
    <t>Oracle Database, July 2007 Critical Patch Update</t>
    <phoneticPr fontId="3" type="noConversion"/>
  </si>
  <si>
    <t>Oracle数据库2007年7月紧急补丁更新</t>
    <phoneticPr fontId="3" type="noConversion"/>
  </si>
  <si>
    <t>Oracle数据库服务未修复2007年7月份的补丁包（CPU），Oracle数据挖掘、Oracle文本、规则管理器、SQL编译器等层面可能存在安全问题。</t>
    <phoneticPr fontId="3" type="noConversion"/>
  </si>
  <si>
    <t>应用2007年7月份的补丁包（cpu），相关链接：
http://www.nessus.org/u?56ac783a</t>
    <phoneticPr fontId="3" type="noConversion"/>
  </si>
  <si>
    <t>Oracle Database, October 2007 Critical Patch Update</t>
    <phoneticPr fontId="3" type="noConversion"/>
  </si>
  <si>
    <t>Oracle数据库2007年10月紧急补丁更新</t>
    <phoneticPr fontId="3" type="noConversion"/>
  </si>
  <si>
    <t>Oracle数据库服务未修复2007年10月份的补丁包（CPU），核心RDBMS、Oracle文本、 Oracle WEB帮助、XML数据库等层面可能存在安全问题。</t>
    <phoneticPr fontId="3" type="noConversion"/>
  </si>
  <si>
    <t>应用2007年10月份的补丁包（cpu），相关链接：
http://www.nessus.org/u?a4069ea0</t>
    <phoneticPr fontId="3" type="noConversion"/>
  </si>
  <si>
    <t>Oracle Database, July 2009 Critical Patch Update</t>
    <phoneticPr fontId="3" type="noConversion"/>
  </si>
  <si>
    <t>Oracle数据库2009年7月紧急补丁更新</t>
    <phoneticPr fontId="3" type="noConversion"/>
  </si>
  <si>
    <t>Oracle数据库服务未修复2009年7月份的补丁包（CPU），高级复制、审计、配置管理器、核心RDBMS、侦听器、升级等层面可能存在安全问题。</t>
    <phoneticPr fontId="3" type="noConversion"/>
  </si>
  <si>
    <t>应用2009年7月份的补丁包（cpu），相关链接：
http://www.nessus.org/u?0096ebce</t>
    <phoneticPr fontId="3" type="noConversion"/>
  </si>
  <si>
    <t>Oracle Database, April 2008 Critical Patch Update</t>
    <phoneticPr fontId="3" type="noConversion"/>
  </si>
  <si>
    <t>Oracle数据库2008年4月紧急补丁更新</t>
    <phoneticPr fontId="3" type="noConversion"/>
  </si>
  <si>
    <t>Oracle数据库服务未修复2008年4月份的补丁包（CPU），Oracle空间、审计、Oracle网络服务、Oracle企业管理器、查询优化器等层面可能存在安全问题。</t>
    <phoneticPr fontId="3" type="noConversion"/>
  </si>
  <si>
    <t>应用2008年4月份的补丁包（cpu），相关链接：
http://www.nessus.org/u?3819c6a7</t>
    <phoneticPr fontId="3" type="noConversion"/>
  </si>
  <si>
    <t>Oracle Database, April 2009 Critical Patch Update</t>
    <phoneticPr fontId="3" type="noConversion"/>
  </si>
  <si>
    <t>Oracle数据库2009年4月紧急补丁更新</t>
    <phoneticPr fontId="3" type="noConversion"/>
  </si>
  <si>
    <t>Oracle数据库服务未修复2009年4月份的补丁包（CPU），高级查询、应用表达层面、核心RDBMS、侦听器、密码策略、资源管理器、工作空间管理器、SQLX功能层面可能存在安全问题。</t>
    <phoneticPr fontId="3" type="noConversion"/>
  </si>
  <si>
    <t>应用2009年4月份的补丁包（cpu），相关链接：
http://www.nessus.org/u?82e7414a</t>
    <phoneticPr fontId="3" type="noConversion"/>
  </si>
  <si>
    <t>Oracle Database, October 2010 Critical Patch Update</t>
    <phoneticPr fontId="3" type="noConversion"/>
  </si>
  <si>
    <t>Oracle数据库2010年10月紧急补丁更新</t>
    <phoneticPr fontId="3" type="noConversion"/>
  </si>
  <si>
    <t>Oracle数据库服务未修复2010年10月份的补丁包（CPU），企业管理控制器、JAVA虚拟器、OLAP、JOB查询、XDK、核心RDBMS、Perl层面可能存在安全问题。</t>
    <phoneticPr fontId="3" type="noConversion"/>
  </si>
  <si>
    <t xml:space="preserve">应用2010年10月份的补丁包（cpu），相关链接：
http://www.nessus.org/u?3ed3b5c9
</t>
    <phoneticPr fontId="3" type="noConversion"/>
  </si>
  <si>
    <t>Oracle Database, January 2011 Critical Patch Update</t>
    <phoneticPr fontId="3" type="noConversion"/>
  </si>
  <si>
    <t>Oracle数据库2011年1月紧急补丁更新</t>
    <phoneticPr fontId="3" type="noConversion"/>
  </si>
  <si>
    <t>Oracle数据库服务未修复2011年1月份的补丁包（CPU），客户端系统分析器、数据库、Oracle空间、UIX、调度器代理可能存在安全问题。</t>
    <phoneticPr fontId="3" type="noConversion"/>
  </si>
  <si>
    <t xml:space="preserve">应用2011年1月份的补丁包（cpu），相关链接：
http://www.nessus.org/u?0fd6b4f5
</t>
    <phoneticPr fontId="3" type="noConversion"/>
  </si>
  <si>
    <t xml:space="preserve"> Oracle Database, April 2011 Critical Patch Update</t>
    <phoneticPr fontId="3" type="noConversion"/>
  </si>
  <si>
    <t>Oracle数据库2011年4月紧急补丁更新</t>
    <phoneticPr fontId="3" type="noConversion"/>
  </si>
  <si>
    <t>Oracle数据库服务未修复2011年2月份的补丁包（CPU），Oracle仓库、Oracle安全服务、应用程序服务级别管理、网络功能、Oracle帮助、UIX等可能存在安全问题。</t>
    <phoneticPr fontId="3" type="noConversion"/>
  </si>
  <si>
    <t>Oracle Database, July 2011 Critical Patch Update</t>
    <phoneticPr fontId="3" type="noConversion"/>
  </si>
  <si>
    <t>Oracle数据库2011年7月紧急补丁更新</t>
    <phoneticPr fontId="3" type="noConversion"/>
  </si>
  <si>
    <t>Oracle数据库服务未修复2011年7月份的补丁包（CPU），内容管理、数据库目标类型、SQL性能报告、安全架构、安全管理层等可能存在安全问题。</t>
    <phoneticPr fontId="3" type="noConversion"/>
  </si>
  <si>
    <t xml:space="preserve">应用2011年7月份的补丁包（cpu），相关链接：
http://www.nessus.org/u?a7c55943
</t>
    <phoneticPr fontId="3" type="noConversion"/>
  </si>
  <si>
    <t>MySQL &lt; 4.0.21 mysqlhotcopy Insecure Temporary File Creation</t>
    <phoneticPr fontId="3" type="noConversion"/>
  </si>
  <si>
    <t>MySQL 版本低于 4.0.21</t>
    <phoneticPr fontId="3" type="noConversion"/>
  </si>
  <si>
    <t>使用mysql-server包scp类函数的mysql 4.0.20及其早期版本中mysqlhotcopy脚本存在漏洞。本地用户可以借助对临时文件的符号链接攻击覆盖任意文件。</t>
    <phoneticPr fontId="3" type="noConversion"/>
  </si>
  <si>
    <t>升级mysql版本至4.0.21及以上版本。
相关链接：
http://www.mysql.com/downloads/</t>
    <phoneticPr fontId="3" type="noConversion"/>
  </si>
  <si>
    <t>MySQL &lt; 3.23.59 / 4.0.21 Multiple Vulnerabilities</t>
    <phoneticPr fontId="3" type="noConversion"/>
  </si>
  <si>
    <t xml:space="preserve">MySQL 版本低于 3.23.59 / 4.0.21 </t>
    <phoneticPr fontId="3" type="noConversion"/>
  </si>
  <si>
    <t>MySQL是一款开放源代码数据库系统。
  MySQL的多个线程发送'alter'命令存在问题，远程攻击者可以利用这个漏洞对数据库服务程序进行拒绝服务攻击。
  多个线程针对'merge'表发送'alter'命令修改'union'，可导致目标服务程序崩溃。</t>
    <phoneticPr fontId="3" type="noConversion"/>
  </si>
  <si>
    <t>升级mysql版本至3.23.59 / 4.0.21及以上版本。
相关链接：
http://www.mysql.com/downloads/</t>
    <phoneticPr fontId="3" type="noConversion"/>
  </si>
  <si>
    <t>Finger Service Remote Information Disclosure</t>
    <phoneticPr fontId="3" type="noConversion"/>
  </si>
  <si>
    <t>Finger服务远程信息泄露</t>
    <phoneticPr fontId="3" type="noConversion"/>
  </si>
  <si>
    <t>Finger服务可用于查询用户的信息，包括网上成员的真实姓名、用户名、最近登录时间和地点等，也可以用来显示当前登录在机器上的所有用户名。攻击者可利用该信息进一步攻击。</t>
    <phoneticPr fontId="3" type="noConversion"/>
  </si>
  <si>
    <t>在文件/etc/inetd.conf中
把'finger' 对应的行注释，并重启 inetd process</t>
    <phoneticPr fontId="3" type="noConversion"/>
  </si>
  <si>
    <t>RPC rusers Remote Information Disclosure</t>
    <phoneticPr fontId="3" type="noConversion"/>
  </si>
  <si>
    <t>rusers用户信息泄露漏洞</t>
    <phoneticPr fontId="3" type="noConversion"/>
  </si>
  <si>
    <t>RPC rusers 命令可用于生成登录到远程机的用户列表。攻击者可利用该信息进一步攻击。</t>
    <phoneticPr fontId="3" type="noConversion"/>
  </si>
  <si>
    <t>如果rusers 服务不需要，应停用。</t>
    <phoneticPr fontId="3" type="noConversion"/>
  </si>
  <si>
    <t>PHP 5.5.x &lt; 5.5.7 OpenSSL openssl_x509_parse() Memory Corruption</t>
    <phoneticPr fontId="3" type="noConversion"/>
  </si>
  <si>
    <t>PHP版本低于5.5.7</t>
    <phoneticPr fontId="3" type="noConversion"/>
  </si>
  <si>
    <t>PHP中的ext/openssl/openssl.c文件中的‘asn1_time_to_time_t’函数中存在内存损坏漏洞，该漏洞源于openssl_x509_parse()函数没有正确解析X.509证书中的notBefore和notAfter时间戳。远程攻击者可借助特制的证书利用该漏洞执行任意代码或造成拒绝服务（应用程序崩溃）。</t>
    <phoneticPr fontId="3" type="noConversion"/>
  </si>
  <si>
    <t>升级PHP版本至5.5.7及以上版本。</t>
    <phoneticPr fontId="3" type="noConversion"/>
  </si>
  <si>
    <t>PHP 5.5.x &lt; 5.5.8 Multiple Vulnerabilities</t>
    <phoneticPr fontId="3" type="noConversion"/>
  </si>
  <si>
    <t>升级PHP版本至5.5.8及以上版本。</t>
    <phoneticPr fontId="3" type="noConversion"/>
  </si>
  <si>
    <t>PHP 5.5.8及之前的版本中的ext/gd/gd.c文件中的‘gdImageCrop’函数中存在整数溢出漏洞。远程攻击者可通过调用‘imagecrop’函数利用该漏洞造成拒绝服务（应用程序崩溃），也可能执行任意代码。</t>
    <phoneticPr fontId="3" type="noConversion"/>
  </si>
  <si>
    <t>PHP版本低于5.5.11</t>
    <phoneticPr fontId="3" type="noConversion"/>
  </si>
  <si>
    <t>file是软件开发者Christos Zoulas所负责维护的一套用于类Unix系统下查看文件格式的工具。
版本低于5.5.11的PHP中所使用的file 版本低于5.14，magic/Magdir/commands中的awk脚本检测器中的BEGIN正则表达式中存在安全漏洞，该漏洞源于使用多个无限制重复的通配符。攻击者可借助特制的ASCII文件利用该漏洞造成拒绝服务（CPU消耗)。</t>
    <phoneticPr fontId="3" type="noConversion"/>
  </si>
  <si>
    <t>FastCGI Process Manager（FPM）是英国软件开发者Andrei Nigmatulin所研发的一个用于PHP中的FastCGI进程管理器，它用来管理FastCGI进程。
PHP 5.5.0至5.5.11版本的FPM中的sapi/fpm/fpm/fpm_unix.c文件存在安全漏洞，该漏洞源于程序对UNIX套接字使用0666权限。本地攻击者可借助特制的FastCGI客户端利用该漏洞获取特权。</t>
    <phoneticPr fontId="3" type="noConversion"/>
  </si>
  <si>
    <t>PHP 5.3.28及之前的版本和5.5.13之前的5.5.x版本的Fileinfo组件的cdf.c文件中‘cdf_unpack_summary_info’函数存在安全漏洞。远程攻击者可借助特制的CDF文件利用该漏洞造成拒绝服务（无限循环）。</t>
    <phoneticPr fontId="3" type="noConversion"/>
  </si>
  <si>
    <t>PHP版本较低，存在多个安全漏洞威胁。</t>
    <phoneticPr fontId="3" type="noConversion"/>
  </si>
  <si>
    <t>PHP 的Fileinfo组件中使用的file 5.20及之前版本的readelf.c文件中的‘donote’函数存在安全漏洞，该漏洞源于程序没有正确验证注释头。远程攻击者可借助特制的ELF文件利用该漏洞造成拒绝服务（越边界读取和应用程序崩溃）。</t>
    <phoneticPr fontId="3" type="noConversion"/>
  </si>
  <si>
    <t>PHP的ext/standard/var_unserializer.re文件中的‘process_nested_data’函数中存在释放后重用漏洞。远程攻击者可借助特制的非序列化调用利用该漏洞执行任意代码。</t>
    <phoneticPr fontId="3" type="noConversion"/>
  </si>
  <si>
    <t>升级PHP版本至5.5.25及以上版本。</t>
    <phoneticPr fontId="3" type="noConversion"/>
  </si>
  <si>
    <t>目前厂商已经发布了升级补丁以修复这个安全问题，补丁下载链接： 
        Sun Solaris 9_x86 
        Sun 125951-07 
        http://sunsolve.sun.com/search/document.do?assetkey=urn:cds:docid:1-21 -125951-07-1</t>
    <phoneticPr fontId="3" type="noConversion"/>
  </si>
  <si>
    <t>ICCP/COTP (ISO 8073) Protocol Detection</t>
    <phoneticPr fontId="3" type="noConversion"/>
  </si>
  <si>
    <t>ICCP栈（和其他协议如彩信和IEC 61850）包括
ISO 8073（RFC 905）在传输层。8073标准
面向连接的传输协议（COTP），利用一对用户
可配置的16位数字，或在某些情况下ASCII字符串值，以确定客户端终结点称为传输服务访问点
（tsaps）。
注意，ICCP本身不提供防护窃听，欺骗，中间人，和类似的攻击。</t>
    <phoneticPr fontId="3" type="noConversion"/>
  </si>
  <si>
    <t>授权主机或升级到安全防护，以保护SSL / TLS的基本协议加密和数字证书。</t>
    <phoneticPr fontId="3" type="noConversion"/>
  </si>
  <si>
    <t>Small SSH RSA Key</t>
    <phoneticPr fontId="3" type="noConversion"/>
  </si>
  <si>
    <t>SSH RSA密钥长度较短</t>
    <phoneticPr fontId="3" type="noConversion"/>
  </si>
  <si>
    <t>远程SSH服务所使用的密钥长度较短，这是不安全的。鉴于目前的技术，建议最低为768位。</t>
    <phoneticPr fontId="3" type="noConversion"/>
  </si>
  <si>
    <t>生成新的SSH RSA密钥，长度应该大于768位</t>
    <phoneticPr fontId="3" type="noConversion"/>
  </si>
  <si>
    <t>VMware vCenter Server可以快速部署虚拟机，并监控物理服务器和虚拟机的性能，可通过单个界面部署、监控和管理虚拟化IT环境，并确保最佳的服务级别。 
        VMware vCenter Server Update 4b之前的4.0版本，Update 2之前的5.0版本及5.1.0b之前的5.1版本；VMware ESXi 3.5至5.1版本；VMware ESX 3.5至4.1版本中存在漏洞，该漏洞源于处理Network File Copy（NFC）协议时存在错误。攻击者利用该漏洞进行内存破坏攻击。成功利用该漏洞需要对vCenter Server或ESXi/ESX system和客户端进行中间人攻击。</t>
    <phoneticPr fontId="3" type="noConversion"/>
  </si>
  <si>
    <t xml:space="preserve"> 目前厂商已经发布了升级补丁以修复此安全问题，补丁获取链接： 
        http://www.vmware.com/security/advisories/VMSA-2013-0003.html</t>
    <phoneticPr fontId="3" type="noConversion"/>
  </si>
  <si>
    <t>VMware Security Updates for vCenter Server (VMSA-2013-0006)</t>
    <phoneticPr fontId="3" type="noConversion"/>
  </si>
  <si>
    <t>远程主机上安装的VMware的vCenter版本5.1之前
更新1。因此，它可能受到以下影响
漏洞：
•当部署在使用活动的环境中时
匿名LDAP绑定启用目录，VMware
vCenter不妥善处理登录凭据。
（cve-2013-3107）
-捆绑版本的Oracle JRE是早于
1.6.0_37因此，由多个安全的影响
问题。
-捆绑版本的Apache Tomcat的影响
多问题。（cve-2012-2733，cve-2012-4534）</t>
    <phoneticPr fontId="3" type="noConversion"/>
  </si>
  <si>
    <t>VMware vCenter服务器安全更新（vmsa-2013-0012）</t>
    <phoneticPr fontId="3" type="noConversion"/>
  </si>
  <si>
    <t xml:space="preserve">   VMware vCenter Server是美国威睿（VMware）公司的一套服务器和虚拟化管理软件。该软件提供了一个用于管理VMware vSphere环境的集中式平台，可自动实施和交付虚拟基础架构。 
        VMware vCenter Server 5.0:update_2_rc及之前的版本中的vSphere Web Client Server中存在会话固定漏洞。远程攻击者可利用该漏洞劫持Web会话，并获取提升的权限。</t>
    <phoneticPr fontId="3" type="noConversion"/>
  </si>
  <si>
    <t>升级到VMware vCenter 5更新3，5.1更新2或更高版本。</t>
    <phoneticPr fontId="3" type="noConversion"/>
  </si>
  <si>
    <t>VMware vCenter Server Multiple Java Vulnerabilities (VMSA-2015-0003)</t>
    <phoneticPr fontId="3" type="noConversion"/>
  </si>
  <si>
    <t>安装在远程主机上的VMware vCenter服务器的版本为5.0到5.0u3d之前，5.1之前5.1u3a，5.5之前5.5u2e，或6.0前6.0.0a。正是因此，受人在这方面的中间人（MITM）信息泄露漏洞被称为贵宾犬，相关
以捆绑的JRE组件。该漏洞是由于双向SSL
3.0处理填充字节时进行解密的邮件加密使用
阻止密码块链接（CBC）模式的密码。 MITM攻击者可以解密的密文字节选择在短短256次尝试，如果
他们能够迫使受害人应用频繁发送相同的数据通过新创建的SSL 3.0连接。</t>
    <phoneticPr fontId="3" type="noConversion"/>
  </si>
  <si>
    <t>升级到VMware vCenter服务器5.0u3d（5.0.0 build-2656067）/ 5.1u3a
（5.1.0 build-2669725）/ 5.5u2e（5.5.0 build-2646482）/ 6.0.0a（6.0.0
build-2656757）</t>
    <phoneticPr fontId="3" type="noConversion"/>
  </si>
  <si>
    <t>Finger Recursive Request Arbitrary Site Redirection</t>
    <phoneticPr fontId="3" type="noConversion"/>
  </si>
  <si>
    <t>Finger服务允许递归请求任意站点（重定向）</t>
    <phoneticPr fontId="3" type="noConversion"/>
  </si>
  <si>
    <t>远程finger服务接受请求重定向。也就是说，用户可以通过以下命令实验：
finger user@host@victim
这允许攻击者使用这台计算机作为中继跳转来收集第三方网络上的信息。此外，通过大量请求来制造拒绝服务攻击远程主机。</t>
    <phoneticPr fontId="3" type="noConversion"/>
  </si>
  <si>
    <t>禁用远程finger守护进程服务（在/etc/inetd.conf配置文件中将finger相关配置行注释并重启inetd进程），或者进行finger升级。</t>
    <phoneticPr fontId="3" type="noConversion"/>
  </si>
  <si>
    <t>Apache Tomcat 7.0.x &lt; 7.0.60 Multiple Vulnerabilities (FREAK)</t>
    <phoneticPr fontId="3" type="noConversion"/>
  </si>
  <si>
    <t>Apache Tomcat版本低于7.0.60</t>
    <phoneticPr fontId="3" type="noConversion"/>
  </si>
  <si>
    <t>Apache Tomcat版本较低，可能导致多个安全漏洞威胁。</t>
    <phoneticPr fontId="3" type="noConversion"/>
  </si>
  <si>
    <t>升级Apache Tomcat版本至7.0.60及以上版本。</t>
    <phoneticPr fontId="3" type="noConversion"/>
  </si>
  <si>
    <t>Symantec pcAnywhere awhost32 Remote Code Execution</t>
    <phoneticPr fontId="3" type="noConversion"/>
  </si>
  <si>
    <t>Symantec pcAnywhere授权问题漏洞</t>
    <phoneticPr fontId="3" type="noConversion"/>
  </si>
  <si>
    <t>Symantec pcAnywhere是一款功能强大的远程控制软件。 
Symantec pcAnywhere 12.5.x版本至12.5.3版本，IT Management Suite pcAnywhere Solution 7.0版本（也称12.5.x）和7.1版本（也称12.6.x）中的host-services组件中存在漏洞。该漏洞源于对登录和验证数据未进行正确过滤。远程攻击者可利用该漏洞借助TCP端口5631上的特制会话执行任意代码。</t>
    <phoneticPr fontId="3" type="noConversion"/>
  </si>
  <si>
    <t>更新Symantec的安全补丁。
目前厂商已经发布了升级补丁以修复此安全问题，补丁获取链接： 
http://www.symantec.com/security_response/securityupdates/detail.jsp?fid=security_advisory&amp;pvid=security_advisory&amp;year=2012&amp;suid=20120124_00</t>
    <phoneticPr fontId="3" type="noConversion"/>
  </si>
  <si>
    <t>Microsoft BizTalk Server Multiple Remote Vulnerabilities</t>
    <phoneticPr fontId="3" type="noConversion"/>
  </si>
  <si>
    <t>微软BizTalk Server存在多个远程安全漏洞</t>
    <phoneticPr fontId="3" type="noConversion"/>
  </si>
  <si>
    <t>当前BizTalk Server的服务端口存在以下远程安全漏洞，可允许攻击者通过SQL注入或者执行任意代码来进行攻击：
Microsoft BizTalk Server 2002 HTTP接收远程缓冲区溢出漏洞(MS03-016)
Microsoft BizTalk Server DTA接口SQL注入漏洞(MS03-016)</t>
    <phoneticPr fontId="3" type="noConversion"/>
  </si>
  <si>
    <t>Microsoft已经为此发布了一个安全公告（MS12-020）以及相应补丁:
链接：
http://technet.microsoft.com/en-us/security/bulletin/ms03-016</t>
    <phoneticPr fontId="3" type="noConversion"/>
  </si>
  <si>
    <t>BlackBerry Enterprise Server MDS Connection Service XSS</t>
    <phoneticPr fontId="3" type="noConversion"/>
  </si>
  <si>
    <t>Rim BlackBerry Enterprise Server (BES) 'ConfigureStatistics'脚本跨站脚本漏洞</t>
    <phoneticPr fontId="3" type="noConversion"/>
  </si>
  <si>
    <t xml:space="preserve">BlackBerry Enterprise Server软件是BlackBerry企业解决方案中的一个组件，能够在无线设备、企业应用程序和无线网络之间起到中间连接的作用。 
BlackBerry Enterprise Server所使用MDS Connection Service的/admin/statistics/ConfigureStatistics脚本没有正确地验证多个参数输入，远程攻击者可以通过向该脚本提交恶意请求执行跨站脚本攻击，导致在用户浏览器会话中执行任意HTML和脚本代码。 </t>
    <phoneticPr fontId="3" type="noConversion"/>
  </si>
  <si>
    <t>升级BlackBerry Enterprise Server版本至4.1.6 MR5及以上版本。</t>
    <phoneticPr fontId="3" type="noConversion"/>
  </si>
  <si>
    <t>Tomcat版本为4.1，存在跨站脚本攻击威胁</t>
    <phoneticPr fontId="3" type="noConversion"/>
  </si>
  <si>
    <t>远程主机运行的web服务，未能充分过滤恶意的JaveScript脚本请求，通过利用此漏洞，攻击者可能在用户浏览器上网页中受影响的站点实施任意HTML和脚本执行攻击。</t>
    <phoneticPr fontId="3" type="noConversion"/>
  </si>
  <si>
    <t>升级Tomcat版本至4.1.2及以上版本。
相关链接：
http://archives.neohapsis.com/archives/vuln-dev/2002-q3/0482.html
http://tomcat.apache.org/</t>
    <phoneticPr fontId="3" type="noConversion"/>
  </si>
  <si>
    <t>Microsoft Windows Server 2003 Unsupported Installation Detection</t>
    <phoneticPr fontId="3" type="noConversion"/>
  </si>
  <si>
    <t>Microsoft Windows Server 2003厂商已不提供支持</t>
    <phoneticPr fontId="3" type="noConversion"/>
  </si>
  <si>
    <t>远程主机操作系统厂商已不提供支持服务。</t>
    <phoneticPr fontId="3" type="noConversion"/>
  </si>
  <si>
    <t>建议升级或采购Microsoft Windows Server 2008及以上版本。</t>
    <phoneticPr fontId="3" type="noConversion"/>
  </si>
  <si>
    <t>Multiple FTP Server QUOTE CWD Command Home Path Disclosure</t>
    <phoneticPr fontId="3" type="noConversion"/>
  </si>
  <si>
    <t>多个FTP服务cwd命令路径暴露漏洞</t>
    <phoneticPr fontId="3" type="noConversion"/>
  </si>
  <si>
    <t>远程主机存在FTP信息泄露漏洞，通过FTP用户的CWD命令，可以确定主目录的完整路径，攻击者可以利用此路径，通过其他安全缺陷，确定哪里存放.rhost文件。</t>
    <phoneticPr fontId="3" type="noConversion"/>
  </si>
  <si>
    <t>应用厂商提供的最新补丁信息。
相关链接：
http://aix.software.ibm.com/aix/efixes/security/ftpd_advisory.asc</t>
    <phoneticPr fontId="3" type="noConversion"/>
  </si>
  <si>
    <t>Adobe Flash Media Server &lt; 3.0.6 / 3.5.4 Multiple Vulnerabilities (APSB10-19)</t>
    <phoneticPr fontId="3" type="noConversion"/>
  </si>
  <si>
    <t>Adobe Flash Media Server 代码注入漏洞（版本低于3.0.6 / 3.5.4）</t>
    <phoneticPr fontId="3" type="noConversion"/>
  </si>
  <si>
    <t xml:space="preserve">  Adobe Flash Media Server是基于Flash应用程序的服务器，可提供运行交互式应用及音频视频流的环境。 
  Adobe Flash Media Server (FMS) 3.0.6之前的版本，以及3.5.4之前的3.5.x版本存在漏洞。攻击者可以借助未明向量执行任意代码。</t>
    <phoneticPr fontId="3" type="noConversion"/>
  </si>
  <si>
    <t xml:space="preserve">
目前厂商已经发布了升级补丁以修复此安全问题，补丁获取链接： 
http://www.adobe.com/support/security/bulletins/apsb10-19.html</t>
    <phoneticPr fontId="3" type="noConversion"/>
  </si>
  <si>
    <t>Adobe Flash Media Server &lt; 3.0.7 / 3.5.5 / 4.0.1 Multiple Vulnerabilities (APSB10-27)</t>
    <phoneticPr fontId="3" type="noConversion"/>
  </si>
  <si>
    <t>Adobe Flash Media Server内存泄露漏洞（版本低于3.0.7 / 3.5.5 / 4.0.1 ）</t>
    <phoneticPr fontId="3" type="noConversion"/>
  </si>
  <si>
    <t xml:space="preserve">  Adobe Flash Media Server 将传统的流媒体功能与灵活的开发环境结合起来, 为最广泛的群体创建和提供创新的、交互式媒体应用。 
  Adobe Flash Media Server(FMS)3.0.7之前的3.0.x版本，3.5.5之前的3.5.x版本，4.0.1之前的4.0.x版本中存在内存泄露漏洞。攻击者可以借助未明向量导致拒绝服务(内存消耗)。</t>
    <phoneticPr fontId="3" type="noConversion"/>
  </si>
  <si>
    <t>目前厂商已经发布了升级补丁以修复此安全问题，补丁获取链接： 
http://www.adobe.com/support/security/bulletins/apsb10-27.html</t>
    <phoneticPr fontId="3" type="noConversion"/>
  </si>
  <si>
    <t>Adobe Flash Media Server &lt; 3.5.6 / 4.0.2 Multiple Vulnerabilities (APSB11-11)</t>
    <phoneticPr fontId="3" type="noConversion"/>
  </si>
  <si>
    <t>Adobe Flash Media Server存在多个安全漏洞（版本低于3.5.6 / 4.0.2）</t>
    <phoneticPr fontId="3" type="noConversion"/>
  </si>
  <si>
    <t>Adobe Flash Media Server是基于Flash应用程序的服务器，可提供运行交互式应用及音频视频流的环境。 
  Adobe Flash Media Server(FMS)3.5.6之前版本以及4.0.2之前的4.x版本中存在XML数据破坏漏洞。远程攻击者可以借助未明向量导致拒绝服务。</t>
    <phoneticPr fontId="3" type="noConversion"/>
  </si>
  <si>
    <t>目前厂商已经发布了升级补丁以修复此安全问题，补丁获取链接： 
http://www.adobe.com/support/security/bulletins/apsb11-11.html</t>
    <phoneticPr fontId="3" type="noConversion"/>
  </si>
  <si>
    <t>Adobe Flash Media Server缓冲区溢出漏洞（版本低于3.5.7 / 4.0.3）</t>
    <phoneticPr fontId="3" type="noConversion"/>
  </si>
  <si>
    <t>Adobe Flash Media Server是基于Flash应用程序的服务器，可提供运行交互式应用及音频视频流的环境。 
  Adobe Flash Media Server (FMS) 3.5.7之前版本和4.0.3之前的4.x版本中存在缓冲区溢出漏洞。远程攻击者可以借助未明向量导致拒绝服务（内存破坏）。</t>
    <phoneticPr fontId="3" type="noConversion"/>
  </si>
  <si>
    <t xml:space="preserve">目前厂商已经发布了升级补丁以修复此安全问题，补丁获取链接： 
http://www.adobe.com/support/security/bulletins/apsb11-20.html </t>
    <phoneticPr fontId="3" type="noConversion"/>
  </si>
  <si>
    <t>Adobe Media Server当前版本已不再提供支持更新</t>
    <phoneticPr fontId="3" type="noConversion"/>
  </si>
  <si>
    <t>Adobe Media Server当前的版本，Adobe已不再对此系统版本提供支持，即当前出现新的安全漏洞时，也不会提供相应的安全补丁，从而导致使用该版本的软件存在较高的风险。</t>
    <phoneticPr fontId="3" type="noConversion"/>
  </si>
  <si>
    <t xml:space="preserve">建议升级Adobe Media Server 到最新版本，以便可持续更新，确保软件的安全。
Adobe 目前所支持的版本如下：
http://www.adobe.com/support/programs/policies/supported.html
</t>
    <phoneticPr fontId="3" type="noConversion"/>
  </si>
  <si>
    <t>Adobe Flash Media Server &lt; 3.0.5 / 3.5.3 Multiple Vulnerabilities (APSB09-18)</t>
    <phoneticPr fontId="3" type="noConversion"/>
  </si>
  <si>
    <t>Adobe Flash Media Server媒体服务器资源耗尽远程拒绝服务漏洞（版本低于3.0.5 / 3.5.3）</t>
    <phoneticPr fontId="3" type="noConversion"/>
  </si>
  <si>
    <t>Adobe Flash Media Server (FMS)存在未明漏洞，攻击者可以借助未明向量引起一个拒绝服务(资源耗尽)。</t>
    <phoneticPr fontId="3" type="noConversion"/>
  </si>
  <si>
    <t>目前厂商已经发布了升级补丁以修复此安全问题，补丁获取链接： 
http://download.macromedia.com/pub/flashmediaserver/updates/3_5_3/Wind ows/FlashMediaServer3.5.exe 
http://download.macromedia.com/pub/flashmediaserver/updates/3_5_3/Linu x/FlashMediaServer3.5.tar.gz</t>
    <phoneticPr fontId="3" type="noConversion"/>
  </si>
  <si>
    <t>SunSSH &lt; 1.1.1 / 1.3 CBC Plaintext Disclosure</t>
    <phoneticPr fontId="3" type="noConversion"/>
  </si>
  <si>
    <t>SunSSH &lt; 1.1.1 / 1.3 CBC明文信息泄露</t>
    <phoneticPr fontId="3" type="noConversion"/>
  </si>
  <si>
    <t>远程主机上运行SunSSH服务存在一个信息泄露设计缺陷，该缺陷能令SunSSH在遭受中间人攻击会启用32位标准的SSH保护明文连接配置，借此攻击者能获取访问敏感信息。</t>
    <phoneticPr fontId="3" type="noConversion"/>
  </si>
  <si>
    <t>将SunSSH升级至1.1.1/1.3的更高版本。</t>
    <phoneticPr fontId="3" type="noConversion"/>
  </si>
  <si>
    <t>HP System Management Homepage OpenSSL Multiple Vulnerabilities (Heartbleed)</t>
    <phoneticPr fontId="3" type="noConversion"/>
  </si>
  <si>
    <t>HP系统管理主页的OpenSSL存在多个漏洞（包含Heartbleed）</t>
    <phoneticPr fontId="3" type="noConversion"/>
  </si>
  <si>
    <t>OpenSSL 1.0.1g之前的1.0.1版本的TLS和DTLS实现过程中存在安全漏洞，该漏洞源于程序没有正确处理Heartbeart Extension数据包。远程攻击者可借助特制的数据包利用该漏洞获取进程内存的敏感信息（如读取私钥）。</t>
    <phoneticPr fontId="3" type="noConversion"/>
  </si>
  <si>
    <t>建议升级HP系统管理主页的版本到7.2.3.1或更高版本。</t>
    <phoneticPr fontId="3" type="noConversion"/>
  </si>
  <si>
    <t>Sun Java Web Console 跨站脚本漏洞</t>
    <phoneticPr fontId="3" type="noConversion"/>
  </si>
  <si>
    <t>Sun Java Web Console 3.0.2到3.0.5版本下的Java Web help jsp scripts以及Solaris 10版本下的Sun Java Web Console存在多个跨站脚本漏洞允许远程攻击者借助未知向量注入任意的Web脚本或HTML。</t>
    <phoneticPr fontId="3" type="noConversion"/>
  </si>
  <si>
    <t>1、可关闭Sun Java Web 控制台页面功能。
2、升级Sun Java Web 控制台到最新稳定版本。</t>
    <phoneticPr fontId="3" type="noConversion"/>
  </si>
  <si>
    <t>HP System Management Homepage &lt; 7.5.0 Multiple Vulnerabilities (FREAK)</t>
    <phoneticPr fontId="3" type="noConversion"/>
  </si>
  <si>
    <t>HP系统管理主页版本低于7.5.0，存在多个安全漏洞</t>
    <phoneticPr fontId="3" type="noConversion"/>
  </si>
  <si>
    <t>由于HP的管理工具版本较低，存在多处漏洞，如拒绝服务漏洞，信息泄露等漏洞,PHP捆绑包存在多处漏洞等。</t>
    <phoneticPr fontId="3" type="noConversion"/>
  </si>
  <si>
    <t xml:space="preserve">升级HP System Management Homepage版本至7.5.0及以上。
</t>
    <phoneticPr fontId="3" type="noConversion"/>
  </si>
  <si>
    <t>HP系统管理主页版本低于7.4.1 ，单点登录功能存在缓冲区溢出漏洞</t>
    <phoneticPr fontId="3" type="noConversion"/>
  </si>
  <si>
    <t>HP管理主页的单点登录功能存在一处缓冲区溢出漏洞，远程攻击者通过超长参数可利用此漏洞远程执行任意代码。</t>
    <phoneticPr fontId="3" type="noConversion"/>
  </si>
  <si>
    <t xml:space="preserve">升级HP System Management Homepage版本至7.4.1及以上。
</t>
    <phoneticPr fontId="3" type="noConversion"/>
  </si>
  <si>
    <t>Tivoli Storage Manager Server 当前版本IBM已不支持</t>
    <phoneticPr fontId="3" type="noConversion"/>
  </si>
  <si>
    <t>IBM当前版本已不支持Tivoli Storage Manager Server，这意味着IBM不提供其更新版本号，可能会受到多个漏洞影响。</t>
    <phoneticPr fontId="3" type="noConversion"/>
  </si>
  <si>
    <t>建议升级Tivoli Storage Manager Server版本6.2.x及以上版本</t>
    <phoneticPr fontId="3" type="noConversion"/>
  </si>
  <si>
    <t>IBM WebSphere Application Server 7.0 &lt; Fix Pack 35 Multiple Vulnerabilities</t>
    <phoneticPr fontId="3" type="noConversion"/>
  </si>
  <si>
    <t>IBM WebSphere应用服务器版本低于补丁包35，存在多种安全漏洞</t>
    <phoneticPr fontId="3" type="noConversion"/>
  </si>
  <si>
    <t xml:space="preserve">  IBM WebSphere Application Server (WAS)为7.0之前版本，低于补丁包35要求版本，存在多个安全漏洞。</t>
    <phoneticPr fontId="3" type="noConversion"/>
  </si>
  <si>
    <t>升级IBM WebSphere应用服务器版本，应用补丁包35升级
相关链接：                                                                                                                               http://www-01.ibm.com/support/docview.wss?uid=swg21682767</t>
    <phoneticPr fontId="3" type="noConversion"/>
  </si>
  <si>
    <t>IBM WebSphere Application Server 7.0 &lt; Fix Pack 37 Multiple Vulnerabilities (POODLE)</t>
    <phoneticPr fontId="3" type="noConversion"/>
  </si>
  <si>
    <t>IBM WebSphere应用服务器版本低于补丁包37，存在多种安全漏洞</t>
    <phoneticPr fontId="3" type="noConversion"/>
  </si>
  <si>
    <t xml:space="preserve">  IBM WebSphere Application Server (WAS)为7.0之前版本，低于补丁包37要求版本，存在多个安全漏洞。</t>
    <phoneticPr fontId="3" type="noConversion"/>
  </si>
  <si>
    <t>升级IBM WebSphere应用服务器版本，应用补丁包35升级
相关链接：                                                      http://www-01.ibm.com/support/docview.wss?uid=swg21690185</t>
    <phoneticPr fontId="3" type="noConversion"/>
  </si>
  <si>
    <t>VMware vCenter Multiple Vulnerabilities (VMSA-2015-0007)</t>
    <phoneticPr fontId="3" type="noConversion"/>
  </si>
  <si>
    <t>VMware vCenter存在多个漏洞</t>
    <phoneticPr fontId="3" type="noConversion"/>
  </si>
  <si>
    <t>安装在远程主机的VMware vCenter Server存在两个安全漏洞，包括VMware vCenter Server vpxd远程拒绝服务漏洞(CVE-2015-1047)、VMware vCenter Server JMX RMI远程代码执行漏洞(CVE-2015-2342)</t>
    <phoneticPr fontId="3" type="noConversion"/>
  </si>
  <si>
    <t xml:space="preserve">升级VMware vCenter Server版本至6.0u1 (6.0.0 build-3018521)、5.5u3(5.5.0 build-3000241)、 5.1u3b (5.1.0 build-3070521)、5.0u3e (5.0.0build-3073234)及以上版本。
相关链接：
https://www.vmware.com/security/advisories/VMSA-2015-0007.html
http://www.zerodayinitiative.com/advisories/ZDI-15-455/
</t>
    <phoneticPr fontId="3" type="noConversion"/>
  </si>
  <si>
    <t>VMware vCenter 5.5 LDAP Certificate Validation MitM Spoofing (VMSA-2015-0006)</t>
    <phoneticPr fontId="3" type="noConversion"/>
  </si>
  <si>
    <t>VMware vCenter 5.5 LDAP证书验证中间人欺骗攻击</t>
    <phoneticPr fontId="3" type="noConversion"/>
  </si>
  <si>
    <t>安装在远程主机的VMware vCenter Server版本低于5.5u3，可能存在中间人欺骗攻击，由于TLS LDAP服务的X.509证书不合理验证，中间人攻击者利用此漏洞通过伪造证书来拦截网络流量，达到篡改或获取敏感信息的目的。</t>
    <phoneticPr fontId="3" type="noConversion"/>
  </si>
  <si>
    <t>升级VMware vCenter Server 版本至5.5u3 (5.5.0 build-3000241)及以上。
相关链接：
http://www.vmware.com/security/advisories/VMSA-2015-0006.html</t>
    <phoneticPr fontId="3" type="noConversion"/>
  </si>
  <si>
    <t>IMAP Service STARTTLS Plaintext Command Injection</t>
    <phoneticPr fontId="3" type="noConversion"/>
  </si>
  <si>
    <t>IMAP Server STARTTLS 明文命令注入漏洞</t>
    <phoneticPr fontId="3" type="noConversion"/>
  </si>
  <si>
    <t xml:space="preserve">IMAP Server 中的STARTTLS实现不能正确限制I/O缓冲。中间人攻击者可以在TLS实现就位后，通过发送已处理的明文命令，向加密的SMTP会话插入命令。
</t>
    <phoneticPr fontId="3" type="noConversion"/>
  </si>
  <si>
    <t>请根据当前IMAP Server 所使用的软件厂商，获取相应的补丁升级程序</t>
    <phoneticPr fontId="3" type="noConversion"/>
  </si>
  <si>
    <t>Danware NetOp Host HELO Request Remote Information Disclosure</t>
    <phoneticPr fontId="3" type="noConversion"/>
  </si>
  <si>
    <t>Danware NetOp Host HELO 请求远程信息泄露</t>
    <phoneticPr fontId="3" type="noConversion"/>
  </si>
  <si>
    <t xml:space="preserve">  Danware NetOp Host和Guest产品提供各种操作系统的远程控制功能，对交换数据进行验证和加密。
  Danware NetOp Host在交换初始化阶段通信处理存在问题，远程攻击者可以利用这个漏洞获得部分敏感信息。
  Danware NetOp Host和guest产品使用多种标准协议封装数据交换，虽然验证和数据等交换进行了加密，但是早期的会话初始化过程(在验证和加密之前)的通信会泄露主机名，用户名和本地IP地址等信息。
  如果一个合法的NetOp Helo请求发送给主机，应答的数据包中就会包含明文的NetOp主机名和用户名及本地IP地址信息。</t>
    <phoneticPr fontId="3" type="noConversion"/>
  </si>
  <si>
    <t>目前厂商已经发布了升级补丁以修复这个安全问题，补丁下载链接：
http://www.danware.com/</t>
    <phoneticPr fontId="3" type="noConversion"/>
  </si>
  <si>
    <t>Apache 1.3.x &lt; 1.3.42 mod_proxy Integer Overflow</t>
    <phoneticPr fontId="3" type="noConversion"/>
  </si>
  <si>
    <t>Apache版本低于1.3.42 ，存在mod_proxy 整数溢出漏洞</t>
    <phoneticPr fontId="3" type="noConversion"/>
  </si>
  <si>
    <t>Apache HTTP Server是一款流行的Web服务器。 
Apache服务器的mod_proxy模块在64位操作系统中存在堆栈溢出漏洞，允许远程原服务器引起拒绝服务攻击或可能执行任意代码利用一个大块的数据引起堆栈溢出。</t>
    <phoneticPr fontId="3" type="noConversion"/>
  </si>
  <si>
    <t>确保受影响的模块未使用或配置，以避免存在安全问题，也可升级Apache版本至1.3.42及以上。</t>
    <phoneticPr fontId="3" type="noConversion"/>
  </si>
  <si>
    <t>Firebird 默认账号密码</t>
    <phoneticPr fontId="3" type="noConversion"/>
  </si>
  <si>
    <t>firebird是一个全功能的，强大高效的，轻量级，免维护的数据库。
服务器上所使用的Firebird 存在默认账号密码，攻击者可通过默认的账号密码获取数据库权限。</t>
    <phoneticPr fontId="3" type="noConversion"/>
  </si>
  <si>
    <t>修改Firebird 账号 'SYSDBA' 的默认密码</t>
    <phoneticPr fontId="3" type="noConversion"/>
  </si>
  <si>
    <t>Microsoft IIS 5.0 "Translate: f"头标记导致源码泄露漏洞(MS00-058)</t>
    <phoneticPr fontId="3" type="noConversion"/>
  </si>
  <si>
    <t>IIS是Microsoft公司开发的流行的HTTP服务器程序，随同Windows操作系统捆绑发布。
  IIS 5.0在处理某些带有特殊标记的HTTP请求时存在漏洞，远程攻击者可能利用此漏洞得到服务器上脚本的源码。
  如果IIS 5.0接收到一个包含特殊头格式(Translate: f)的HTTP请求，同时URL末尾包含一个特殊字符("/")的话，IIS 会错误得调用脚本处理引擎，可能导致文件源码泄漏给远程用户。</t>
    <phoneticPr fontId="3" type="noConversion"/>
  </si>
  <si>
    <t>Microsoft已经为此发布了一个安全公告(MS00-058)以及相应补丁: 
MS00-058：Patch Available for "Specialized Header" Vulnerability 
链接：
http://www.microsoft.com/technet/security/bulletin/MS00-058.asp 
补丁下载： 
http://www.microsoft.com/Downloads/Release.asp?ReleaseID=23769</t>
    <phoneticPr fontId="3" type="noConversion"/>
  </si>
  <si>
    <t>Serv-U 版本低于 10.3.0.1 SFTP 认证绕过漏洞</t>
    <phoneticPr fontId="3" type="noConversion"/>
  </si>
  <si>
    <t>如果SFTP server配置为允许通过public key 进行认证,则攻击者则无知道密码即可绕过登录验证。</t>
    <phoneticPr fontId="3" type="noConversion"/>
  </si>
  <si>
    <t>升级 Serv-U 版本到10.3.0.1 以上</t>
    <phoneticPr fontId="3" type="noConversion"/>
  </si>
  <si>
    <t>FTPS Cleartext Fallback Security Bypass</t>
    <phoneticPr fontId="3" type="noConversion"/>
  </si>
  <si>
    <t>FTPS 明文传输漏洞</t>
    <phoneticPr fontId="3" type="noConversion"/>
  </si>
  <si>
    <t>当SSL 建立协商过程失败时，该FTPS 会使用明文进行通信，存在被中间人攻击的风险。</t>
    <phoneticPr fontId="3" type="noConversion"/>
  </si>
  <si>
    <t>如果是使用 Serv-U, 则需要更新至 11.1.0.3 以上；
否则应根据所使用的FTPS，更新相应版本。</t>
    <phoneticPr fontId="3" type="noConversion"/>
  </si>
  <si>
    <t>PHP 5.6.x &lt; 5.6.4 'process_nested_data' RCE</t>
    <phoneticPr fontId="3" type="noConversion"/>
  </si>
  <si>
    <t>PHP‘process_nested_data’函数远程代码执行漏洞</t>
    <phoneticPr fontId="3" type="noConversion"/>
  </si>
  <si>
    <t>PHP的ext/standard/var_unserializer.re文件中的‘process_nested_data’函数中存在释放后重用漏洞。远程攻击者可借助特制的非序列化调用利用该漏洞执行任意代码。以下版本受到影响：PHP 5.4.36之前版本，5.5.20之前5.5.x版本，5.6.4之前5.6.x版本。</t>
    <phoneticPr fontId="3" type="noConversion"/>
  </si>
  <si>
    <t xml:space="preserve">  目前厂商已经发布了升级补丁以修复此安全问题，补丁获取链接： 
        http://php.net/ChangeLog-5.php</t>
    <phoneticPr fontId="3" type="noConversion"/>
  </si>
  <si>
    <t>PHP 5.6.x &lt; 5.6.5 Multiple Vulnerabilities</t>
  </si>
  <si>
    <t>PHP CGI组件缓冲区溢出漏洞</t>
    <phoneticPr fontId="3" type="noConversion"/>
  </si>
  <si>
    <t xml:space="preserve">    目前厂商已经发布了升级补丁以修复此安全问题，补丁获取链接： 
        https://bugs.php.net/bug.php?id=68618</t>
    <phoneticPr fontId="3" type="noConversion"/>
  </si>
  <si>
    <t>PHP 5.6.x &lt; 5.6.6 Multiple Vulnerabilities (GHOST)</t>
  </si>
  <si>
    <t>GNU glibc 基于堆的缓冲区溢出漏洞</t>
    <phoneticPr fontId="3" type="noConversion"/>
  </si>
  <si>
    <t>GNU glibc 2.2版本和2.18之前2.x版本中的‘__nss_hostname_digits_dots’函数存在基于堆的缓冲区溢出漏洞。本地和远程攻击者都可通过调用‘ gethostbyname*()’函数利用该漏洞以运行应用程序的用户权限执行任意代码，控制系统。</t>
    <phoneticPr fontId="3" type="noConversion"/>
  </si>
  <si>
    <t xml:space="preserve">     目前厂商已经发布了升级补丁以修复此安全问题，补丁获取链接： 
        https://sourceware.org/ml/libc-alpha/2013-08/msg00160.html</t>
    <phoneticPr fontId="3" type="noConversion"/>
  </si>
  <si>
    <t>PHP 5.6.x &lt; 5.6.7 Multiple Vulnerabilities</t>
    <phoneticPr fontId="3" type="noConversion"/>
  </si>
  <si>
    <t>PHP 版本低于5.6.7，存在多个漏洞</t>
    <phoneticPr fontId="3" type="noConversion"/>
  </si>
  <si>
    <t>PHP的ext/standard/var_unserializer.re文件中的‘process_nested_data’函数存在释放后重用漏洞。远程攻击者可借助特制的反序列化的调用利用该漏洞执行任意代码。以下版本受到影响：PHP 5.4.37之前版本，5.5.21之前5.5.x版本，5.6.5之前5.6.x版本。</t>
    <phoneticPr fontId="3" type="noConversion"/>
  </si>
  <si>
    <t>PHP 5.6.x &lt; 5.6.8 Multiple Vulnerabilities</t>
  </si>
  <si>
    <t>PHP 版本低于5.6.8，存在多个漏洞</t>
  </si>
  <si>
    <t>PHP 5.6.7及之前版本的Opcache扩展中的zend_shared_alloc.c文件中的‘_zend_shared_memdup’函数存在释放后重用漏洞。远程攻击者可利用该漏洞造成拒绝服务。</t>
    <phoneticPr fontId="3" type="noConversion"/>
  </si>
  <si>
    <t xml:space="preserve"> 目前厂商已经发布了升级补丁以修复此安全问题，补丁获取链接： 
        https://bugs.php.net/bug.php?id=68677</t>
    <phoneticPr fontId="3" type="noConversion"/>
  </si>
  <si>
    <t>PHP 5.6.x &lt; 5.6.9 Multiple Vulnerabilities</t>
  </si>
  <si>
    <t>PHP 版本低于5.6.9，存在多个漏洞</t>
  </si>
  <si>
    <t>PHP 5.3.4之前版本接受了路径名称中的/0字符。上下文攻击者可以通过在该字符后放置安全文件扩展名，绕过预设的访问限制。该漏洞已经通过向file_exists函数传递的参数末端的.php\0.jpg得到证实。</t>
    <phoneticPr fontId="3" type="noConversion"/>
  </si>
  <si>
    <t xml:space="preserve">     目前厂商已经发布了升级补丁以修复此安全问题，补丁获取链接： 
        http://www.php.net/downloads.php</t>
    <phoneticPr fontId="3" type="noConversion"/>
  </si>
  <si>
    <t>PHP 5.6.x &lt; 5.6.10 Multiple Vulnerabilities</t>
  </si>
  <si>
    <t>PHP 版本低于5.6.10，存在多个漏洞</t>
  </si>
  <si>
    <t>PCRE中存在基于堆的缓冲区溢出漏洞。攻击者可利用该漏洞在应用程序上下文中执行任意代码，也可能造成拒绝服务。</t>
    <phoneticPr fontId="3" type="noConversion"/>
  </si>
  <si>
    <t>PHP 5.6.x &lt; 5.6.11 Multiple Vulnerabilities (BACKRONYM)</t>
  </si>
  <si>
    <t>PHP 版本低于5.6.11，存在多个漏洞</t>
  </si>
  <si>
    <t>Oracle MySQL中存在安全绕过漏洞，该漏洞源于程序没有正确验证SSl证书。攻击者可利用该漏洞实施中间人攻击，或冒充可信服务器。</t>
    <phoneticPr fontId="3" type="noConversion"/>
  </si>
  <si>
    <t>Apache 2.4.x &lt; 2.4.16 Multiple Vulnerabilities</t>
    <phoneticPr fontId="3" type="noConversion"/>
  </si>
  <si>
    <t>Apache 版本低于2.4.16，存在多个漏洞</t>
    <phoneticPr fontId="3" type="noConversion"/>
  </si>
  <si>
    <t>Apache HTTP Server 2.4.12及之前版本的mod_lua模块中的lua_request.c文件中的‘lua_websocket_read’函数存在安全漏洞。远程攻击者可通过在Lua脚本调用wsupgrade函数后发送特制的WebSocket Ping帧利用该漏洞造成拒绝服务（child-process崩溃）。</t>
    <phoneticPr fontId="3" type="noConversion"/>
  </si>
  <si>
    <t>目前厂商已经发布了升级补丁以修复此安全问题，补丁获取链接： 
        http://svn.apache.org/repos/asf/httpd/httpd/branches/2.4.x/CHANGES</t>
    <phoneticPr fontId="3" type="noConversion"/>
  </si>
  <si>
    <t>PHP 5.6.x &lt; 5.6.12 Multiple Vulnerabilities</t>
  </si>
  <si>
    <t>PHP 版本低于5.6.12，存在多个漏洞</t>
    <phoneticPr fontId="3" type="noConversion"/>
  </si>
  <si>
    <t>spl_dllist.c文件存在use-after-free错误。由于
不当的清除处理unserialize()函数的输入。攻击者可以利用这一点,通过使用一个专门制作的SplDoublyLinkedList对象,顺从释放内存,从而执行任意代码。</t>
    <phoneticPr fontId="3" type="noConversion"/>
  </si>
  <si>
    <t>目前厂商已经发布了升级补丁以修复此安全问题，补丁获取链接： http://php.net/ChangeLog-5.php#5.6.12
http://seclists.org/fulldisclosure/2015/Aug/17
http://seclists.org/fulldisclosure/2015/Aug/18
http://seclists.org/fulldisclosure/2015/Aug/19
https://bugs.php.net/bug.php?id=69793
https://bugs.php.net/bug.php?id=70121</t>
    <phoneticPr fontId="3" type="noConversion"/>
  </si>
  <si>
    <t>PHP 5.6.x &lt; 5.6.13 Multiple Vulnerabilities</t>
  </si>
  <si>
    <t>PHP 版本低于5.6.13，存在多个漏洞</t>
  </si>
  <si>
    <t>多个use-after-free内存错误存在相关unserialize()函数,远程攻击者可以利用执行任意代码</t>
    <phoneticPr fontId="3" type="noConversion"/>
  </si>
  <si>
    <t xml:space="preserve">目前厂商已经发布了升级补丁以修复此安全问题，补丁获取链接：http://php.net/ChangeLog-5.php#5.6.13 </t>
    <phoneticPr fontId="3" type="noConversion"/>
  </si>
  <si>
    <t>PHP 5.6.x &lt; 5.6.14 Multiple Vulnerabilities</t>
  </si>
  <si>
    <t>PHP 版本低于5.6.14，存在多个漏洞</t>
  </si>
  <si>
    <t>当指向一个不存在的文件时就会触发一个存在
phar_get_fp_offset ext / phar / util()函数c空指针废弃缺陷。一个未经身份验证的远程攻击者可以利用这个导致拒绝服务条件</t>
    <phoneticPr fontId="3" type="noConversion"/>
  </si>
  <si>
    <t>目前厂商已经发布了升级补丁以修复此安全问题，补丁获取链接： http://php.net/ChangeLog-5.php#5.6.14</t>
    <phoneticPr fontId="3" type="noConversion"/>
  </si>
  <si>
    <t>PHP 5.6.x &lt; 5.6.3 'donote' DoS</t>
  </si>
  <si>
    <t>PHP 版本低于5.6.3，存在多个漏洞</t>
    <phoneticPr fontId="3" type="noConversion"/>
  </si>
  <si>
    <t>PHP 5.6.3及之前版本的Fileinfo组件中使用的file 5.20及之前版本的readelf.c文件中的‘donote’函数存在安全漏洞，该漏洞源于程序没有正确验证注释头。远程攻击者可借助特制的ELF文件利用该漏洞造成拒绝服务（越边界读取和应用程序崩溃）。</t>
    <phoneticPr fontId="3" type="noConversion"/>
  </si>
  <si>
    <t xml:space="preserve">     目前厂商已经发布了升级补丁以修复此安全问题，补丁获取链接： 
        https://bugs.php.net/bug.php?id=68283</t>
    <phoneticPr fontId="3" type="noConversion"/>
  </si>
  <si>
    <t>IP Forwarding Enabled</t>
  </si>
  <si>
    <t>IP转发功能未禁用</t>
  </si>
  <si>
    <t xml:space="preserve">   IP转发在非路由器或防火墙的机器上可用。</t>
  </si>
  <si>
    <t>如果该设备为路由器或防火墙，则可忽悠该问题；
否则建议关闭IP转发功能。</t>
  </si>
  <si>
    <t>OpenSSH &lt; 7.0 Multiple Vulnerabilities</t>
  </si>
  <si>
    <t>OpenSSH 版本低于7.0，存在多个漏洞</t>
  </si>
  <si>
    <t>OpenSSH（OpenBSD Secure Shell）是OpenBSD计划组所维护的一套用于安全访问远程计算机的连接工具。该工具是SSH协议的开源实现，支持对所有的传输进行加密，可有效阻止窃听、连接劫持以及其他网络级的攻击。
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</si>
  <si>
    <t>目前厂商已经发布了升级补丁以修复此安全问题，补丁获取链接： 
http://cvsweb.openbsd.org/cgi-bin/cvsweb/src/usr.bin/ssh/auth2-chall.c</t>
  </si>
  <si>
    <t>HP LoadRunner 11.52 Buffer Overflow RCE (uncredentialed check)</t>
  </si>
  <si>
    <t>HP LoadRunner 缓冲区溢出漏洞</t>
    <phoneticPr fontId="3" type="noConversion"/>
  </si>
  <si>
    <t>HP LoadRunner是美国惠普（HP）公司的一套性能负载测试工具。该工具可通过系统监控和用户监控功能以及大量分析组件对应用的性能进行测试，检测并有效隔离性能瓶颈。
HP LoadRunner 11.52版本中存在缓冲区溢出漏洞。攻击者可利用该漏洞在受影响应用程序上下文中执行任意代码，也可能造成拒绝服务。</t>
    <phoneticPr fontId="3" type="noConversion"/>
  </si>
  <si>
    <t>目前厂商已经发布了升级补丁以修复此安全问题，补丁获取链接： 
http://h20564.www2.hp.com/hpsc/doc/public/display?docId=emr_na-c04594015</t>
    <phoneticPr fontId="3" type="noConversion"/>
  </si>
  <si>
    <t>X11 Server Unauthenticated Access</t>
    <phoneticPr fontId="3" type="noConversion"/>
  </si>
  <si>
    <t>X11 Server 未授权访问漏洞</t>
    <phoneticPr fontId="3" type="noConversion"/>
  </si>
  <si>
    <t xml:space="preserve"> X服务器的访问控件被关闭（例如通过"xhost +"命令），任意用户可以连接到服务器上。</t>
    <phoneticPr fontId="3" type="noConversion"/>
  </si>
  <si>
    <t>限制通过'xhost' 命令访问该端口；
如果X client/server 无需使用，建议关闭该服务</t>
    <phoneticPr fontId="3" type="noConversion"/>
  </si>
  <si>
    <t>X Server Unauthenticated Access: Screenshot</t>
  </si>
  <si>
    <t>X11 Server 未授权访问漏洞：截屏</t>
    <phoneticPr fontId="3" type="noConversion"/>
  </si>
  <si>
    <t xml:space="preserve"> X服务器的访问控件被关闭（例如通过"xhost +"命令），任意用户可以连接到服务器上。</t>
    <phoneticPr fontId="3" type="noConversion"/>
  </si>
  <si>
    <t>限制通过'xhost' 命令访问该端口；
如果X client/server 无需使用，建议关闭该服务</t>
    <phoneticPr fontId="3" type="noConversion"/>
  </si>
  <si>
    <t>HP LoadRunner &lt; 11.52 SSL Connection Handling Stack Buffer Overflow RCE</t>
    <phoneticPr fontId="3" type="noConversion"/>
  </si>
  <si>
    <t>HP LoadRunner 版本低于 11.52 ，远程命令执行漏洞</t>
    <phoneticPr fontId="3" type="noConversion"/>
  </si>
  <si>
    <t>HP LoadRunner是美国惠普（HP）公司的一套性能负载测试工具。该工具可通过模拟多用户并发负载，进行实时性能监测的方式来确认和查找问题。 
   HP LoadRunner 11.52之前的版本中存在远程代码执行漏洞。攻击者可利用该漏洞在用户运行的受影响应用程序上下文中执行任意代码，也可能导致拒绝服务。</t>
    <phoneticPr fontId="3" type="noConversion"/>
  </si>
  <si>
    <t>目前厂商已经发布了升级补丁以修复此安全问题，补丁获取链接： 
http://www8.hp.com/us/en/software/enterprise-software.html?zn=bto&amp;cp=1-11-126-17%255E8_4000_100__</t>
    <phoneticPr fontId="3" type="noConversion"/>
  </si>
  <si>
    <t>ESXi 5.5 &lt; Build 1623387 Multiple Vulnerabilities (remote check)</t>
    <phoneticPr fontId="3" type="noConversion"/>
  </si>
  <si>
    <t>ESXi 5.5 版本缺少补丁Build 1623387，存在多个漏洞</t>
    <phoneticPr fontId="3" type="noConversion"/>
  </si>
  <si>
    <t>ESXi 5.5 版本缺少补丁Build 1623387，存在以下两个漏洞：CVE-2013-4332和CVE-2013-5211。
    1、NTP 4.2.7p26之前的版本中的ntpd守护进程中的ntp_request.c文件中的monlist功能中存在输入验证漏洞。远程攻击者可通过伪造REQ_MON_GETLIST或REQ_MON_GETLIST_1请求利用该漏洞造成拒绝服务。
    2、GNU glibc中存在多个远程整数溢出漏洞。攻击者可利用该漏洞在用户运行的受影响应用程序上下文中执行任意代码，使应用程序崩溃，拒绝服务合法用户。</t>
    <phoneticPr fontId="3" type="noConversion"/>
  </si>
  <si>
    <t>安装补丁 ESXi550-201403101-SG
https://www.vmware.com/security/advisories/VMSA-2014-0002.html
http://kb.vmware.com/kb/2065826</t>
    <phoneticPr fontId="3" type="noConversion"/>
  </si>
  <si>
    <t>J Walk Application Server Encoded Directory Traversal Arbitrary File Access</t>
  </si>
  <si>
    <t>J Walk应用服务器文件泄漏漏洞</t>
    <phoneticPr fontId="3" type="noConversion"/>
  </si>
  <si>
    <t>Seagull软件系统J Walk应用服务器3.2C9版本和其他3.3c4之前的版本存在目录遍历漏洞。远程攻击者可以借助URL的 ".%252e"（编码的点 点）读取任意文件。</t>
    <phoneticPr fontId="3" type="noConversion"/>
  </si>
  <si>
    <t>更新升级JWalk 至版本 3.3c4以上</t>
    <phoneticPr fontId="3" type="noConversion"/>
  </si>
  <si>
    <t>XAMPP Example Pages Detection</t>
    <phoneticPr fontId="3" type="noConversion"/>
  </si>
  <si>
    <t>XAMPP 示例文件未删除</t>
    <phoneticPr fontId="3" type="noConversion"/>
  </si>
  <si>
    <t>应用程序在web目录下默认存在用于演示的文件，而非业务需要的文件，有些情况演示文件可能只考虑如何对功能的演示，而未考虑安全问题，存在一定安全风险。</t>
    <phoneticPr fontId="3" type="noConversion"/>
  </si>
  <si>
    <t>删除示例文件 /xampp/index.php</t>
    <phoneticPr fontId="3" type="noConversion"/>
  </si>
  <si>
    <t>Unsupported Microsoft DNS Server Detection</t>
    <phoneticPr fontId="3" type="noConversion"/>
  </si>
  <si>
    <t xml:space="preserve">检测到一个版本的微软DNS服务器侦听的
属于不受支持的窗口的远程主机。
缺乏支持意味着没有新的安全补丁的产品
将被释放的供应商。其结果是，它很可能包含
安全漏洞。
</t>
    <phoneticPr fontId="3" type="noConversion"/>
  </si>
  <si>
    <t>升级DNS版本到微软支持的新版本</t>
    <phoneticPr fontId="3" type="noConversion"/>
  </si>
  <si>
    <t xml:space="preserve">DCE Services Enumeration  </t>
    <phoneticPr fontId="3" type="noConversion"/>
  </si>
  <si>
    <t>DCE服务枚举漏洞</t>
    <phoneticPr fontId="3" type="noConversion"/>
  </si>
  <si>
    <t>通过发送一个查询请求到端口映射器(TCP 135或epmapper 管道)可以枚举 Distributed Computing Environment (DCE)服务。利用这些信息可以通过发送一个RPC请求到远程端口/管道，连接并绑定到每个服务。</t>
    <phoneticPr fontId="3" type="noConversion"/>
  </si>
  <si>
    <t>根据实际情况限制其他IP地址访问该端口</t>
    <phoneticPr fontId="3" type="noConversion"/>
  </si>
  <si>
    <t>SSL DROWN Attack Vulnerability (Decrypting RSA with Obsolete and Weakened eNcryption)</t>
    <phoneticPr fontId="3" type="noConversion"/>
  </si>
  <si>
    <t>SSL DROWN攻击漏洞（解密RSA（使用过时的弱加密算法））</t>
    <phoneticPr fontId="3" type="noConversion"/>
  </si>
  <si>
    <t>中</t>
    <phoneticPr fontId="3" type="noConversion"/>
  </si>
  <si>
    <t>远程主机受到此漏洞影响，可允许远程攻击者试图解密捕获的TLS流量。
SSLv2协议中存在一个填充内容缺陷，攻击者可以利用这个缺陷解密使用新版SSL/TLS协议会话中由RSA算法加密的内容。通过这种利用方式，可造成DROWN攻击。
受影响的版本：Apache(非2.4.X版本)、Nginx(0.7.64、0.8.18及更早版本)、Postfix（早于2.9.14、2.10.8、2.11.6、3.0.2的版本 (在2015.07.20之前发布)）、Openssl: 1.0.2a、1.0.1m、1.0.0r、0.9.8zf及更早版本。</t>
    <phoneticPr fontId="3" type="noConversion"/>
  </si>
  <si>
    <t>HTTP Proxy CONNECT Loop DoS</t>
    <phoneticPr fontId="3" type="noConversion"/>
  </si>
  <si>
    <t>HTTP代理连接循环DoS</t>
    <phoneticPr fontId="3" type="noConversion"/>
  </si>
  <si>
    <t>MongoDB Service Without Authentication Detection</t>
    <phoneticPr fontId="3" type="noConversion"/>
  </si>
  <si>
    <t>MongoDB没有认证检测服务</t>
    <phoneticPr fontId="3" type="noConversion"/>
  </si>
  <si>
    <t>MongoDB,面向文档的数据库系统,是侦听的远程端口，它被配置为允许没有任何的联系身份验证。远程攻击可以连接到数据库系统,以创建、读取、更新和删除
文档、集合和数据库。</t>
    <phoneticPr fontId="3" type="noConversion"/>
  </si>
  <si>
    <t>启用身份验证或限制访问到MongoDB服务</t>
    <phoneticPr fontId="3" type="noConversion"/>
  </si>
  <si>
    <t>Microsoft Windows Guest Account Belongs to a Group</t>
    <phoneticPr fontId="3" type="noConversion"/>
  </si>
  <si>
    <t>Web Server Reverse Proxy Detection</t>
    <phoneticPr fontId="3" type="noConversion"/>
  </si>
  <si>
    <t>Web服务器反向代理检测</t>
    <phoneticPr fontId="3" type="noConversion"/>
  </si>
  <si>
    <t>禁用或限制访问反向代理。</t>
    <phoneticPr fontId="3" type="noConversion"/>
  </si>
  <si>
    <t>SheerDNS &lt; 1.0.1 Multiple Vulnerabilities</t>
    <phoneticPr fontId="3" type="noConversion"/>
  </si>
  <si>
    <t>SheerDNS多个漏洞</t>
    <phoneticPr fontId="3" type="noConversion"/>
  </si>
  <si>
    <t>远程服务器似乎运行SheerDNS 1.0.0或以上。
这个版本很容易受到几个缺陷允许:
——一个远程攻击者读取某些文件使用预定义的名称
(PTR,CNAME,…)
——本地攻击者读取任意文件的第一行
特权的DNS服务器(通常是根)
——本地攻击者执行任意代码通过缓冲区溢出</t>
    <phoneticPr fontId="3" type="noConversion"/>
  </si>
  <si>
    <t>升级到SheerDNS 1.0.1或禁用此服务</t>
    <phoneticPr fontId="3" type="noConversion"/>
  </si>
  <si>
    <t>Serv-U SITE CHMOD Command Multiple Vulnerabilities</t>
    <phoneticPr fontId="3" type="noConversion"/>
  </si>
  <si>
    <t>Serv-U FTP服务器SITE CHMOD命令超长文件名远程溢出漏洞</t>
    <phoneticPr fontId="3" type="noConversion"/>
  </si>
  <si>
    <t xml:space="preserve"> Serv-U是一个Windows平台下使用非常广泛的FTP服务器软件。
        Serv-U在处理"site chmod"命令的时候，如果后面文件名参数过长将导致缓冲区溢出，远程攻击者可以利用这个漏洞以Serv-U进程的权限执行任意指令。
        Serv-U在给不存在的文件执行chmod命令的时候，会给用户返回该文件或目录不存在的信息，这个信息字串使用类似如下的代码创建：
        sprintf(dst， "</t>
    <phoneticPr fontId="3" type="noConversion"/>
  </si>
  <si>
    <t>Serv-U MDTM Command Overflow</t>
    <phoneticPr fontId="3" type="noConversion"/>
  </si>
  <si>
    <t>Serv-U FTP服务器MDTM命令远程缓冲区溢出漏洞</t>
    <phoneticPr fontId="3" type="noConversion"/>
  </si>
  <si>
    <t>Serv-U是一个Windows平台下使用非常广泛的FTP服务器软件。
        Serv-U在处理"MDTM"命令的参数时缺少正确的缓冲区边界检查，远程攻击者可以利用这个漏洞对FTP服务程序进行缓冲区溢出攻击，可能以FTP进程权限在系统上执行任意指令。
        Serv-U提供FTP命令"MDTM"用于用户更改文件时间，当用户成功登录系统，并发送畸形超长的时区数据作为命令参数，可触发缓冲区溢出，精心构建参数数据可能以FTP进程权限在系统上执行任意指令。
        利用此漏洞需要用户拥有合法帐户登录到系统，但不需要写及其他权限。</t>
    <phoneticPr fontId="3" type="noConversion"/>
  </si>
  <si>
    <t>NSS包包含过时的CA证书。这个更新刷新NSS包3.17.4包括最新的版本CA证书包。</t>
    <phoneticPr fontId="3" type="noConversion"/>
  </si>
  <si>
    <t>更新影响libnss3和/或libnss3-1d包。</t>
    <phoneticPr fontId="3" type="noConversion"/>
  </si>
  <si>
    <t>Ubuntu 10.04 LTS / 12.04 LTS / 14.04 / 14.10 : e2fsprogs vulnerabilities (USN-2507-1)</t>
    <phoneticPr fontId="3" type="noConversion"/>
  </si>
  <si>
    <t>e2fsprogs libext2fs库基于堆的缓冲区溢出漏洞</t>
    <phoneticPr fontId="3" type="noConversion"/>
  </si>
  <si>
    <t>Ubuntu 10.04 LTS / 12.04 LTS / 14.04 / 14.10 : ca-certificates update (USN-2509-1)</t>
    <phoneticPr fontId="3" type="noConversion"/>
  </si>
  <si>
    <t>Ubuntu证书更新漏洞</t>
    <phoneticPr fontId="3" type="noConversion"/>
  </si>
  <si>
    <t>CA证书包包含过时的CA证书。这更新更新包括证书中包含这些20141019包</t>
    <phoneticPr fontId="3" type="noConversion"/>
  </si>
  <si>
    <t>更新影响ca证书包。</t>
    <phoneticPr fontId="3" type="noConversion"/>
  </si>
  <si>
    <t>Ubuntu 10.04 LTS / 12.04 LTS / 14.04 / 14.10 : freetype vulnerabilities (USN-2510-1)</t>
    <phoneticPr fontId="3" type="noConversion"/>
  </si>
  <si>
    <t>FreeType ‘tt_sbit_decoder_load_image’函数拒绝服务漏洞</t>
    <phoneticPr fontId="3" type="noConversion"/>
  </si>
  <si>
    <t>FreeType是FreeType团队开发的一个基于C语言的、高质量的且可移植的开源字体引擎库，它可用来将字符栅格化并映射成位图以及提供其他字体相关业务的支持。
FreeType 2.5.4之前版本的sfnt/ttsbit.c文件中的‘tt_sbit_decoder_load_image’函数存在安全漏洞，该漏洞源于程序没有正确检查整数溢出。远程攻击者可借助特制的OpenType字体利用该漏洞造成拒绝服务（越边界读取）。</t>
    <phoneticPr fontId="3" type="noConversion"/>
  </si>
  <si>
    <t>Ubuntu 12.04 LTS / 14.04 / 14.10 : firefox vulnerabilities (USN-2505-1)</t>
    <phoneticPr fontId="3" type="noConversion"/>
  </si>
  <si>
    <t>Mozilla Firefox ‘UITour::onPageEvent’函数安全漏洞</t>
    <phoneticPr fontId="3" type="noConversion"/>
  </si>
  <si>
    <t>Mozilla Firefox是美国Mozilla基金会开发的一款开源Web浏览器。
Mozilla Firefox 35.0.1及之前版本的‘UITour::onPageEvent’函数中存在安全漏洞，该漏洞源于API调用没有源于foreground标签。远程攻击者可通过访问UI Tour Web网站利用该漏洞实施欺骗攻击和点击劫持攻击。</t>
    <phoneticPr fontId="3" type="noConversion"/>
  </si>
  <si>
    <t xml:space="preserve"> 目前厂商已经发布了升级补丁以修复此安全问题，补丁获取链接： 
        http://www.mozilla.org/security/announce/2015/mfsa2015-26.html</t>
    <phoneticPr fontId="3" type="noConversion"/>
  </si>
  <si>
    <t>Ubuntu 10.04 LTS / 12.04 LTS / 14.04 / 14.10 : eglibc, glibc vulnerabilities (USN-2519-1)</t>
    <phoneticPr fontId="3" type="noConversion"/>
  </si>
  <si>
    <t>GNU C Library 代码注入漏洞</t>
    <phoneticPr fontId="3" type="noConversion"/>
  </si>
  <si>
    <t>GNU C Library（又称glibc，libc6）是一种按照LGPL许可协议发布的开源免费的C语言编译程序。
GNU C Library 2.20及之前版本的resolv/res_send.c文件中的‘send_dg’函数存在安全漏洞，该漏洞源于程序没有正确重用文件描述符。远程攻击者可借助大量请求利用该漏洞向任意位置发送DNS查询。</t>
    <phoneticPr fontId="3" type="noConversion"/>
  </si>
  <si>
    <t>Ubuntu 10.04 LTS / 12.04 LTS / 14.04 / 14.10 : cups vulnerability (USN-2520-1)</t>
    <phoneticPr fontId="3" type="noConversion"/>
  </si>
  <si>
    <t>Apple CUPS 缓冲区溢出漏洞</t>
    <phoneticPr fontId="3" type="noConversion"/>
  </si>
  <si>
    <t>Apple CUPS（Common Unix Printing System）是美国苹果（Apple）公司的一套开源的用于OS X和类Unix系统的打印系统。该系统基于Internet打印协议（IPP），提供大多数PostScript和raster打印机服务。
Apple CUPS 2.0.1及之前版本的filter/raster.c文件中的‘cupsRasterReadPixels’函数存在整数溢出漏洞。远程攻击者可借助畸形的压缩光栅文件利用该漏洞执行任意代码，或造成拒绝服务。</t>
    <phoneticPr fontId="3" type="noConversion"/>
  </si>
  <si>
    <t>Ubuntu 14.04 : linux vulnerability (USN-2516-2)</t>
    <phoneticPr fontId="3" type="noConversion"/>
  </si>
  <si>
    <t>Linux kernel 信息泄露漏洞</t>
    <phoneticPr fontId="3" type="noConversion"/>
  </si>
  <si>
    <t>Linux kernel是美国Linux基金会发布的操作系统Linux所使用的内核。
Linux kernel 3.18.1及之前版本的Thread Local Storage(TLS)实现中的arch/x86/kernel/tls.c文件存在安全漏洞。本地攻击者可借助特制的应用程序利用该漏洞绕过espfix和ASLR保护机制。</t>
    <phoneticPr fontId="3" type="noConversion"/>
  </si>
  <si>
    <t xml:space="preserve"> 目前厂商已经发布了升级补丁以修复此安全问题，补丁获取链接： 
        http://git.kernel.org/cgit/linux/kernel/git/torvalds/linux.git/commit/?id=41bdc78544b8a93a9c6814b8bbbfef966272abbe
</t>
    <phoneticPr fontId="3" type="noConversion"/>
  </si>
  <si>
    <t>Ubuntu 12.04 LTS / 14.04 / 14.10 : thunderbird vulnerabilities (USN-2506-1)</t>
    <phoneticPr fontId="3" type="noConversion"/>
  </si>
  <si>
    <t>多款Mozilla产品Form Autocompletion功能信息泄露漏洞</t>
    <phoneticPr fontId="3" type="noConversion"/>
  </si>
  <si>
    <t>Mozilla Firefox、Firefox ESR、Thunderbird和SeaMonkey都是由美国Mozilla基金会开发。Firefox是一款开源Web浏览器，Firefox ESR是Firefox的一个延长支持版本。Thunderbird是从Mozilla Application Suite中独立出来的一套电子邮件客户端软件。SeaMonkey是一套免费、开源以及跨平台的网络套装软件。
多款Mozilla产品的Form Autocompletion功能中存在安全漏洞。远程攻击者可借助特制的JavaScript代码利用该漏洞读取任意文件。以下产品和版本受到影响：Mozilla Firefox 35.0.1及之前版本，Firefox ESR 31.5之前31.x版本，Thunderbird 31.4及之前版本。</t>
    <phoneticPr fontId="3" type="noConversion"/>
  </si>
  <si>
    <t>目前厂商已经发布了升级补丁以修复此安全问题，补丁获取链接： 
        http://www.mozilla.org/security/announce/2015/mfsa2015-24.html</t>
    <phoneticPr fontId="3" type="noConversion"/>
  </si>
  <si>
    <t>Ubuntu 12.04 LTS / 14.04 / 14.10 : icu vulnerabilities (USN-2522-1)</t>
    <phoneticPr fontId="3" type="noConversion"/>
  </si>
  <si>
    <t>Ubuntu icu漏洞</t>
    <phoneticPr fontId="3" type="noConversion"/>
  </si>
  <si>
    <t>这是发现ICU时错误地处理内存操作处理字体。如果一个应用程序使用ICU精心处理数据,攻击者可能导致崩溃或执行任意的代码与调用程序的用户的特权。这个问题
Ubuntu 12.04 LTS只影响。(cve cve - 2013 - 1569 - 2013 - 2383,
cve cve - 2013 - 2013 - 2013 - 2419)
这是发现ICU时错误地处理内存操作处理字体。如果一个应用程序使用ICU精心处理数据,攻击者可能导致崩溃或执行任意的代码与调用程序的用户的特权。
(cve cve - 2014 - 6585 - 2014 - 6591)
这是发现ICU时错误地处理内存操作处理正则表达式。如果一个应用程序使用ICU处理精心设计的数据,攻击者可能导致崩溃或执行任意代码的特权用户调用
程序。(cve cve - 2014 - 7923 - 2014 - 7926,cve - 2014 - 9654)
他们发现ICU排序器实现错误处理内存操作。如果一个应用程序使用ICU精心处理数据,攻击者可能导致崩溃或执行任意的代码与调用程序的用户的特权。
(cve - 2014 - 7940)”</t>
    <phoneticPr fontId="3" type="noConversion"/>
  </si>
  <si>
    <t>更新影响libicu48和/或libicu52包。</t>
    <phoneticPr fontId="3" type="noConversion"/>
  </si>
  <si>
    <t>Ubuntu 12.04 LTS / 14.04 / 14.10 : firefox regression (USN-2505-2)</t>
    <phoneticPr fontId="3" type="noConversion"/>
  </si>
  <si>
    <t>Ubuntu 14.04 / 14.10 : oxide-qt vulnerabilities (USN-2521-1)</t>
    <phoneticPr fontId="3" type="noConversion"/>
  </si>
  <si>
    <t>Google Chrome Skia 缓冲区溢出漏洞</t>
    <phoneticPr fontId="3" type="noConversion"/>
  </si>
  <si>
    <t>Google Skia是美国谷歌（Google）公司的一个开源且基于C++的图形库，它可应用于Mozilla Firefox、Google Chrome等浏览器中，也可用在Android开放手机平台中。
Google Chrome 41.0.2272.76之前版本中使用的Skia的过滤器实现过程中的core/SkBitmap.cpp文件中的‘SkBitmap::ReadRawPixels’函数存在安全漏洞。远程攻击者可利用该漏洞造成拒绝服务。</t>
    <phoneticPr fontId="3" type="noConversion"/>
  </si>
  <si>
    <t xml:space="preserve">目前厂商已经发布了升级补丁以修复此安全问题，补丁获取链接： 
        http://googlechromereleases.blogspot.com/2015/03/stable-channel-update.html
</t>
    <phoneticPr fontId="3" type="noConversion"/>
  </si>
  <si>
    <t>Ubuntu 14.04 / 14.10 : requests vulnerability (USN-2531-1)</t>
    <phoneticPr fontId="3" type="noConversion"/>
  </si>
  <si>
    <t>Requests 安全漏洞</t>
    <phoneticPr fontId="3" type="noConversion"/>
  </si>
  <si>
    <t>Requests（也称python-requests）是软件开发者Kenneth Reitz和其他维护贡献者共同开发的一个采用Python语言编写的HTTP客户端库。
Requests 2.1.0版本至2.5.3版本的sessions.py文件中的‘resolve_redirects’函数存在安全漏洞。远程攻击者可借助特制的cookie利用该漏洞实施会话固定攻击。</t>
    <phoneticPr fontId="3" type="noConversion"/>
  </si>
  <si>
    <t>Ubuntu 14.04 / 14.10 : cups-filters vulnerability (USN-2532-1)</t>
    <phoneticPr fontId="3" type="noConversion"/>
  </si>
  <si>
    <t>Apple CUPS cups-filters 安全漏洞</t>
    <phoneticPr fontId="3" type="noConversion"/>
  </si>
  <si>
    <t>Apple CUPS（Common Unix Printing System）是美国苹果（Apple）公司的一套开源的用于OS X和类Unix系统的打印系统。cups-filters是一个提供了CUPS过滤器的包。
Apple CUPS cups-filters 1.0.66之前版本的utils/cups-browsed.c文件中的‘remove_bad_chars’函数存在安全漏洞。远程攻击者可借助‘model’和‘PDL’中连续的shell元字符利用该漏洞执行任意命令。</t>
    <phoneticPr fontId="3" type="noConversion"/>
  </si>
  <si>
    <t>Ubuntu 10.04 LTS / 12.04 LTS / 14.04 / 14.10 : sudo vulnerability (USN-2533-1)</t>
    <phoneticPr fontId="3" type="noConversion"/>
  </si>
  <si>
    <t>Todd Miller Sudo 本地安全绕过漏洞</t>
    <phoneticPr fontId="3" type="noConversion"/>
  </si>
  <si>
    <t>Todd Miller Sudo是软件开发者Todd C. Miller所研发的一套用于类Unix操作系统下并允许用户通过安全的方式使用特殊的权限执行命令的程序。
Todd Miller Sudo 1.8.12之前版本中存在本地安全绕过漏洞。攻击者可利用该漏洞绕过安全限制，执行未授权操作。</t>
    <phoneticPr fontId="3" type="noConversion"/>
  </si>
  <si>
    <t>Ubuntu 10.04 LTS / 12.04 LTS / 14.04 / 14.10 : libxfont vulnerabilities (USN-2536-1)</t>
    <phoneticPr fontId="3" type="noConversion"/>
  </si>
  <si>
    <t>X.Org libXfont 缓冲区溢出漏洞</t>
    <phoneticPr fontId="3" type="noConversion"/>
  </si>
  <si>
    <t>X.Org是X.Org基金会运作的一个对X Window系统的官方参考实现，是开源的自由软件。libXfont是一个用于服务器和实用程序的X字体处理库。
X.Org libXfont 1.4.9之前版本和1.5.1之前1.5.x版本的bitmap/bdfread.c文件中的‘bdfReadProperties’函数存在安全漏洞。远程攻击者可借助BDF字体文件中特制的属性计数值利用该漏洞造成拒绝服务（越边界写入和崩溃），也可能执行任意代码。</t>
    <phoneticPr fontId="3" type="noConversion"/>
  </si>
  <si>
    <t>目前厂商已经发布了升级补丁以修复此安全问题，补丁获取链接： 
        http://www.x.org/wiki/Development/Security/Advisory-2015-03-17/</t>
    <phoneticPr fontId="3" type="noConversion"/>
  </si>
  <si>
    <t>Ubuntu 10.04 LTS / 12.04 LTS / 14.04 / 14.10 : openssl vulnerabilities (USN-2537-1)</t>
    <phoneticPr fontId="3" type="noConversion"/>
  </si>
  <si>
    <t>OpenSSL‘d2i_ECPrivateKey’函数释放后重用漏洞</t>
    <phoneticPr fontId="3" type="noConversion"/>
  </si>
  <si>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phoneticPr fontId="3" type="noConversion"/>
  </si>
  <si>
    <t>Mozilla Firefox、Firefox ESR和SeaMonkey都是由美国Mozilla基金会开发。Firefox是一款开源Web浏览器，Firefox ESR是Firefox的一个延长支持版本。SeaMonkey是一套免费、开源以及跨平台的网络套装软件。
多款Mozilla产品的asm.js实现过程中存在安全漏洞，该漏洞源于没有正确处理程序在JIT编译和堆访问期间的边界检查。远程攻击者可借助特制的JavaScript代码利用该漏洞读取或写入任意内存位置，执行任意代码。以下产品及版本受到影响：Mozilla Firefox 36.0.3之前版本，Firefox ESR 31.5.2之前31.x版本，SeaMonkey 2.33.1之前版本。</t>
    <phoneticPr fontId="3" type="noConversion"/>
  </si>
  <si>
    <t>目前厂商已经发布了升级补丁以修复此安全问题，补丁获取链接： 
        http://www.mozilla.org/security/announce/2015/mfsa2015-29.html</t>
    <phoneticPr fontId="3" type="noConversion"/>
  </si>
  <si>
    <t>Ubuntu 10.04 LTS / 12.04 LTS / 14.04 / 14.10 : gnutls26, gnutls28 vulnerabilities (USN-2540-1)</t>
    <phoneticPr fontId="3" type="noConversion"/>
  </si>
  <si>
    <t>GnuTLS 安全绕过漏洞</t>
    <phoneticPr fontId="3" type="noConversion"/>
  </si>
  <si>
    <t>GnuTLS是比利时Nikos Mavrogiannopoulos和瑞典Simon Josefsson软件开发者共同研发的一个免费的用于实现SSL、TLS和DTLS协议的安全通信库。
GnuTLS中存在安全绕过漏洞。攻击者可利用该漏洞实施中间人攻击，操纵可信服务器。</t>
    <phoneticPr fontId="3" type="noConversion"/>
  </si>
  <si>
    <t>Ubuntu 12.04 LTS / 14.04 / 14.10 : libarchive vulnerabilities (USN-2549-1)</t>
    <phoneticPr fontId="3" type="noConversion"/>
  </si>
  <si>
    <t>libarchive ‘archive_write_zip_data()'’函数本地拒绝服务漏洞</t>
    <phoneticPr fontId="3" type="noConversion"/>
  </si>
  <si>
    <t xml:space="preserve"> libarchive是一款多格式存档和压缩库软件。 
        ‘libarchive’中的archive_write_zip_data()函数中存在本地拒绝服务漏洞。本地攻击者可以利用该漏洞造成拒绝服务，或其他形式的攻击。</t>
    <phoneticPr fontId="3" type="noConversion"/>
  </si>
  <si>
    <t>Ubuntu 10.04 LTS / 12.04 LTS / 14.04 / 14.10 : tiff vulnerabilities (USN-2553-1)</t>
    <phoneticPr fontId="3" type="noConversion"/>
  </si>
  <si>
    <t>Silicon Graphics LibTiff 拒绝服务漏洞</t>
    <phoneticPr fontId="3" type="noConversion"/>
  </si>
  <si>
    <t>Silicon Graphics LibTiff是美国Silicon Graphics公司的一个读写TIFF（标签图像文件格式）文件的库。该库包含一些处理TIFF文件的命令行工具。
Silicon Graphics LibTiff中存在拒绝服务漏洞。攻击者可利用该漏洞使应用程序崩溃，拒绝服务合法用户。</t>
    <phoneticPr fontId="3" type="noConversion"/>
  </si>
  <si>
    <t xml:space="preserve"> 目前厂商已经发布了升级补丁以修复此安全问题，详情请关注厂商主页： 
        http://www.libtiff.org/</t>
    <phoneticPr fontId="3" type="noConversion"/>
  </si>
  <si>
    <t>Ubuntu 12.04 LTS / 14.04 / 14.10 : firefox vulnerabilities (USN-2550-1)</t>
    <phoneticPr fontId="3" type="noConversion"/>
  </si>
  <si>
    <t>多款Mozilla产品权限许可和访问控制漏洞</t>
    <phoneticPr fontId="3" type="noConversion"/>
  </si>
  <si>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多款Mozilla产品中存在安全漏洞。远程攻击者可利用该漏洞绕过同源策略（Same Origin Policy），并以chrome权限执行任意JavaScript代码。以下产品及版本受到影响：Mozilla Firefox 36.0.4及之前版本，Firefox ESR 31.5.3及之前版本，Thunderbird 31.5及之前版本。</t>
    <phoneticPr fontId="3" type="noConversion"/>
  </si>
  <si>
    <t>目前厂商已经发布了升级补丁以修复此安全问题，补丁获取链接： 
        https://www.mozilla.org/en-US/security/advisories/mfsa2015-40/</t>
    <phoneticPr fontId="3" type="noConversion"/>
  </si>
  <si>
    <t>Ubuntu 10.04 LTS / 12.04 LTS / 14.04 / 14.10 : tiff regression (USN-2553-2)</t>
    <phoneticPr fontId="3" type="noConversion"/>
  </si>
  <si>
    <t>Silicon Graphics LibTiff是美国Silicon Graphics公司的一个读写TIFF（标签图像文件格式）文件的库。该库包含一些处理TIFF文件的命令行工具。
Silicon Graphics LibTiff中存在拒绝服务漏洞。攻击者可利用该漏洞使应用程序崩溃，拒绝服务合法用户。</t>
    <phoneticPr fontId="3" type="noConversion"/>
  </si>
  <si>
    <t xml:space="preserve"> 目前厂商已经发布了升级补丁以修复此安全问题，详情请关注厂商主页： 
        http://www.libtiff.org/</t>
    <phoneticPr fontId="3" type="noConversion"/>
  </si>
  <si>
    <t>Ubuntu 12.04 LTS / 14.04 / 14.10 : thunderbird vulnerabilities (USN-2552-1)</t>
    <phoneticPr fontId="3" type="noConversion"/>
  </si>
  <si>
    <t>目前厂商已经发布了升级补丁以修复此安全问题，补丁获取链接： 
        https://www.mozilla.org/en-US/security/advisories/mfsa2015-40/</t>
    <phoneticPr fontId="3" type="noConversion"/>
  </si>
  <si>
    <t>Ubuntu 14.04 / 14.10 : oxide-qt vulnerabilities (USN-2556-1)</t>
    <phoneticPr fontId="3" type="noConversion"/>
  </si>
  <si>
    <t>Google Chrome 任意代码执行漏洞</t>
    <phoneticPr fontId="3" type="noConversion"/>
  </si>
  <si>
    <t>Google Chrome是美国谷歌（Google）公司开发的一款Web浏览器。
Google Chrome 41.0.2272.118之前版本中存在安全漏洞，该漏洞源于程序没有正确处理IPC、Gamepad API和Google V8的交互。远程攻击者可利用该漏洞执行任意代码。</t>
    <phoneticPr fontId="3" type="noConversion"/>
  </si>
  <si>
    <t>目前厂商已经发布了升级补丁以修复此安全问题，补丁获取链接： 
        http://googlechromereleases.blogspot.com/2015/04/stable-channel-update.html</t>
    <phoneticPr fontId="3" type="noConversion"/>
  </si>
  <si>
    <t>Ubuntu 12.04 LTS / 14.04 / 14.10 : firefox vulnerability (USN-2557-1)</t>
    <phoneticPr fontId="3" type="noConversion"/>
  </si>
  <si>
    <t>Mozilla Firefox HTTP Alternative Services 输入验证漏洞</t>
    <phoneticPr fontId="3" type="noConversion"/>
  </si>
  <si>
    <t>Mozilla Firefox是美国Mozilla基金会开发的一款开源Web浏览器。
Mozilla Firefox 37.0及之前版本的HTTP Alternative Services实现过程中存在安全漏洞。攻击者可借助Alt-Svc HTTP/2响应头的‘uri-host’字段利用该漏洞实施中间人攻击，绕过SSL服务器的既定的X.509证书验证过程。</t>
    <phoneticPr fontId="3" type="noConversion"/>
  </si>
  <si>
    <t>Ubuntu 10.04 LTS / 12.04 LTS / 14.04 / 14.10 : libtasn1-3, libtasn1-6 vulnerability (USN-2559-1)</t>
    <phoneticPr fontId="3" type="noConversion"/>
  </si>
  <si>
    <t>libtasn1 基于栈的缓冲区溢出漏洞</t>
    <phoneticPr fontId="3" type="noConversion"/>
  </si>
  <si>
    <t>Libtasn1是GNU项目的一个用于开发ASN.1（Abstract Syntax Notation One，用于描述数据的表示、编码、传输、解码的标准）结构管理的C库。
libtasn1 4.4之前版本的asn1_der_decoding功能中存在基于栈的缓冲区溢出漏洞。远程攻击者可利用该漏洞造成拒绝服务，或执行任意代码。</t>
    <phoneticPr fontId="3" type="noConversion"/>
  </si>
  <si>
    <t>目前厂商已经发布了升级补丁以修复此安全问题，补丁获取链接： 
        http://git.savannah.gnu.org/gitweb/?p=libtasn1.git;a=blob;f=NEWS;hb=HEAD</t>
    <phoneticPr fontId="3" type="noConversion"/>
  </si>
  <si>
    <t>Ubuntu 10.04 LTS / 12.04 LTS / 14.04 / 14.10 : dpkg vulnerability (USN-2566-1)</t>
    <phoneticPr fontId="3" type="noConversion"/>
  </si>
  <si>
    <t>Debian dpkg 安全漏洞</t>
    <phoneticPr fontId="3" type="noConversion"/>
  </si>
  <si>
    <t>Debian dpkg是美国软件开发者伊恩-默多克（Ian Murdock）所研发的一款Debian软件包管理器。
Debian dpkg 1.16.16之前版本和1.17.25之前1.17.x版本的dpkg-source命令中存在安全漏洞。远程攻击者可借助特制的Debian源控制文件（.dsc）利用该漏洞绕过签名验证。</t>
    <phoneticPr fontId="3" type="noConversion"/>
  </si>
  <si>
    <t>Ubuntu 12.04 LTS / 14.04 / 14.10 : libx11, libxrender vulnerability (USN-2568-1)</t>
    <phoneticPr fontId="3" type="noConversion"/>
  </si>
  <si>
    <t>X11R6.x和libX11 差一错误漏洞</t>
    <phoneticPr fontId="3" type="noConversion"/>
  </si>
  <si>
    <t>X11R6.x和libX11都是X.Org基金会运作的X11（X Window系统）客户端库。
X11R6.x和libX11 1.6.0之前版本的include/X11/Xlibint.h文件中的MakeBigReq和SetReqLen宏调用中存在差一错误漏洞。远程攻击者可通过发送特制的请求利用该漏洞造成拒绝服务，或执行任意代码。</t>
    <phoneticPr fontId="3" type="noConversion"/>
  </si>
  <si>
    <t>目前厂商已经发布了升级补丁以修复此安全问题，补丁获取链接： 
        http://cgit.freedesktop.org/xorg/lib/libX11/commit/?id=39547d600a13713e15429f49768e54c3173c828d</t>
    <phoneticPr fontId="3" type="noConversion"/>
  </si>
  <si>
    <t>Ubuntu 14.04 / 14.10 : apport vulnerability (USN-2569-1)</t>
    <phoneticPr fontId="3" type="noConversion"/>
  </si>
  <si>
    <t>Ubuntu Apport 安全漏洞</t>
    <phoneticPr fontId="3" type="noConversion"/>
  </si>
  <si>
    <t>Ubuntu是英国科能（Canonical）公司和Ubuntu基金会共同开发的一套以桌面应用为主的GNU/Linux操作系统。Apport是其中的一个用于收集并反馈错误信息（当应用程序崩溃时操作系统认为有用的信息）的工具包。
Ubuntu Apport 2.13版本至2.17.1之前2.17.x版本的崩溃报告功能中存在安全漏洞。本地攻击者可借助命名空间（容器）中特制的usr/share/apport/apport文件利用该漏洞获取权限。</t>
    <phoneticPr fontId="3" type="noConversion"/>
  </si>
  <si>
    <t>Ubuntu 12.04 LTS / 14.04 / 14.10 : usb-creator vulnerability (USN-2576-1)</t>
    <phoneticPr fontId="3" type="noConversion"/>
  </si>
  <si>
    <t>Ubuntu 12.04 LTS / 14.04/14.10:usb-creator脆弱性(usn - 2576 - 1)</t>
    <phoneticPr fontId="3" type="noConversion"/>
  </si>
  <si>
    <t>Ubuntu 14.04 / 14.10 / 15.04 : wpa vulnerability (USN-2577-1)</t>
    <phoneticPr fontId="3" type="noConversion"/>
  </si>
  <si>
    <t>wpa_supplicant 缓冲区溢出漏洞</t>
    <phoneticPr fontId="3" type="noConversion"/>
  </si>
  <si>
    <t>Ubuntu 12.04 LTS / 14.04 / 14.10 / 15.04 : firefox vulnerability (USN-2571-1)</t>
    <phoneticPr fontId="3" type="noConversion"/>
  </si>
  <si>
    <t>Mozilla Firefox‘AsyncPaintWaitEvent::AsyncPaintWaitEvent()’竞争条件漏洞</t>
    <phoneticPr fontId="3" type="noConversion"/>
  </si>
  <si>
    <t>Mozilla Firefox是美国Mozilla基金会开发的一款开源Web浏览器。
Mozilla Firefox 37.0.1及之前版本的‘AsyncPaintWaitEvent::AsyncPaintWaitEvent’函数中存在竞争条件漏洞。远程攻击者可借助没有正确完成初始化的特制的插件利用该漏洞造成拒绝服务（释放后重用）。</t>
    <phoneticPr fontId="3" type="noConversion"/>
  </si>
  <si>
    <t>目前厂商已经发布了升级补丁以修复此安全问题，补丁获取链接： 
        http://www.mozilla.org/security/announce/2015/mfsa2015-45.html</t>
    <phoneticPr fontId="3" type="noConversion"/>
  </si>
  <si>
    <t>Ubuntu 14.04 / 14.10 / 15.04 : oxide-qt vulnerabilities (USN-2570-1)</t>
    <phoneticPr fontId="3" type="noConversion"/>
  </si>
  <si>
    <t>Google Chrome Blink 安全漏洞</t>
    <phoneticPr fontId="3" type="noConversion"/>
  </si>
  <si>
    <t>Blink是美国谷歌（Google）公司和挪威欧朋（Opera Software）公司共同开发的一套浏览器排版引擎（渲染引擎）。
Google Chrome 42.0.2311.90之前版本中使用的Blink的HTML解析器中的core/dom/ContainerNode.cpp文件中的‘ContainerNode::parserRemoveChild’函数存在安全漏洞。远程攻击者可借助带有IFRAME元素的特制的HTML文档利用该漏洞绕过同源策略。</t>
    <phoneticPr fontId="3" type="noConversion"/>
  </si>
  <si>
    <t>Ubuntu 12.04 LTS / 14.04 / 14.10 : libreoffice vulnerabilities (USN-2578-1)</t>
    <phoneticPr fontId="3" type="noConversion"/>
  </si>
  <si>
    <t>LibreOffice 拒绝服务漏洞</t>
    <phoneticPr fontId="3" type="noConversion"/>
  </si>
  <si>
    <t>LibreOffice是文档基金会（The Document Foundation，TDF）开发的一套免费开源的办公软件套件。该套件由Writer（文本文档）、Calc（电子表格）和Impress（演示文稿）等应用程序组成。
LibreOffice 4.3.5之前版本中存在安全漏洞。远程攻击者可借助特制的RTF文件利用该漏洞造成拒绝服务（无效的写入操作和崩溃），或执行任意代码。</t>
    <phoneticPr fontId="3" type="noConversion"/>
  </si>
  <si>
    <t>Ubuntu 12.04 LTS / 14.04 / 14.10 : tcpdump vulnerabilities (USN-2580-1)</t>
    <phoneticPr fontId="3" type="noConversion"/>
  </si>
  <si>
    <t>tcpdump‘mobility_opt_print’函数数字错误漏洞</t>
    <phoneticPr fontId="3" type="noConversion"/>
  </si>
  <si>
    <t>tcpdump是Tcpdump团队开发的一套运行在命令行下的嗅探工具。该工具允许用户拦截和显示发送或收到过网络连接到该计算机的TCP/IP和其他数据包。
tcpdump 4.7.2之前版本的IPv6 mobility打印机（IPv6 mobility printer）中的‘mobility_opt_print’函数存在整数符号错误漏洞。远程攻击者可借助负的‘length’值利用该漏洞造成拒绝服务（越边界读取和崩溃），或执行任意代码。</t>
    <phoneticPr fontId="3" type="noConversion"/>
  </si>
  <si>
    <t>Ubuntu 14.04 / 14.10 / 15.04 : network-manager vulnerability (USN-2581-1)</t>
    <phoneticPr fontId="3" type="noConversion"/>
  </si>
  <si>
    <t>Ubuntu network-manager包路径遍历漏洞</t>
    <phoneticPr fontId="3" type="noConversion"/>
  </si>
  <si>
    <t>Ubuntu 12.04 LTS / 14.04 / 14.10 / 15.04 : curl vulnerabilities (USN-2591-1)</t>
    <phoneticPr fontId="3" type="noConversion"/>
  </si>
  <si>
    <t>Haxx cURL和libcurl 安全漏洞</t>
    <phoneticPr fontId="3" type="noConversion"/>
  </si>
  <si>
    <t>Haxx cURL和Libcurl都是瑞典Haxx公司的产品。CURL是一套利用URL语法在命令行下工作的文件传输工具。Libcurl是一个免费、开源的客户端URL传输库。
Haxx cURL和libcurl 7.10.6版本至7.41.0版本中存在安全漏洞，该漏洞源于程序没有正确重用NTLM连接。远程攻击者可通过发送未授权的请求利用该漏洞以其他用户的身份建立连接。</t>
    <phoneticPr fontId="3" type="noConversion"/>
  </si>
  <si>
    <t>Ubuntu 12.04 LTS / 14.04 / 14.10 / 15.04 : dnsmasq vulnerability (USN-2593-1)</t>
    <phoneticPr fontId="3" type="noConversion"/>
  </si>
  <si>
    <t>Dnsmasq‘tcp_request’拒绝服务漏洞</t>
    <phoneticPr fontId="3" type="noConversion"/>
  </si>
  <si>
    <t>Dnsmasq是软件开发者Simon Kelley所研发的一款使用C语言编写的开源轻量级DNS转发和DHCP、TFTP服务器。
Dnsmasq 2.73rc4之前版本的‘tcp_request’函数中存在安全漏洞，该漏洞源于程序没有正确处理‘setup_reply’函数的返回值。远程攻击者可通过发送畸形的DNS请求利用该漏洞读取进程内存，造成拒绝服务（越边界读取和崩溃）。</t>
    <phoneticPr fontId="3" type="noConversion"/>
  </si>
  <si>
    <t>目前厂商已经发布了升级补丁以修复此安全问题，补丁获取链接： 
        http://thekelleys.org.uk/gitweb/?p=dnsmasq.git;a=commitdiff;h=ad4a8ff7d9097008d7623df8543df435bfddeac8</t>
    <phoneticPr fontId="3" type="noConversion"/>
  </si>
  <si>
    <t>Ubuntu 12.04 LTS / 14.04 / 14.10 : ppp vulnerability (USN-2595-1)</t>
    <phoneticPr fontId="3" type="noConversion"/>
  </si>
  <si>
    <t>Paul's PPP Package 缓冲区溢出漏洞</t>
    <phoneticPr fontId="3" type="noConversion"/>
  </si>
  <si>
    <t>Paul's PPP Package（ppp）是Samba团队开发的一个用于在Linux和Solaris系统上实现点对点协议（PPP）的开源软件包。
ppp 2.4.6及之前版本的plugins/radius/util.c文件中的‘rc_mksid’函数存在缓冲区溢出漏洞。当用于pppd的PID大于65535时，远程攻击者可通过向RADIUS服务器发送‘start’统计报文利用该漏洞造成拒绝服务（崩溃）。</t>
    <phoneticPr fontId="3" type="noConversion"/>
  </si>
  <si>
    <t>目前厂商已经发布了升级补丁以修复此安全问题，补丁获取链接： 
        https://ppp.samba.org/download.html</t>
    <phoneticPr fontId="3" type="noConversion"/>
  </si>
  <si>
    <t>Ubuntu 14.04 / 14.10 / 15.04 : oxide-qt vulnerabilities (USN-2582-1)</t>
    <phoneticPr fontId="3" type="noConversion"/>
  </si>
  <si>
    <t>Google Chrome Blink 释放后重用漏洞</t>
    <phoneticPr fontId="3" type="noConversion"/>
  </si>
  <si>
    <t>Blink是美国谷歌（Google）公司和挪威欧朋（Opera Software）公司共同开发的一套浏览器排版引擎（渲染引擎）。
Google Chrome 42.0.2311.87及之前版本中使用的Blink的DOM实现过程中的core/dom/MutationObserver.cpp文件中的‘MutationObserver::disconnect’函数存在释放后重用漏洞。远程攻击者可通过尝试注销未正确注册的MutationObserver对象，利用该漏洞造成拒绝服务。</t>
    <phoneticPr fontId="3" type="noConversion"/>
  </si>
  <si>
    <t>目前厂商已经发布了升级补丁以修复此安全问题，补丁获取链接： 
        http://googlechromereleases.blogspot.com/2015/04/stable-channel-update_28.html</t>
    <phoneticPr fontId="3" type="noConversion"/>
  </si>
  <si>
    <t>Ubuntu 12.04 LTS / 14.04 / 14.10 / 15.04 : libtasn1-3, libtasn1-6 vulnerability (USN-2604-1)</t>
    <phoneticPr fontId="3" type="noConversion"/>
  </si>
  <si>
    <t>GNU Libtasn1‘_asn1_extract_der_octet()’拒绝服务漏洞</t>
    <phoneticPr fontId="3" type="noConversion"/>
  </si>
  <si>
    <t>GnuTLS是比利时Nikos Mavrogiannopoulos和瑞典Simon Josefsson软件开发者共同研发的一个免费的用于实现SSL、TLS和DTLS协议的安全通信库。GNU Libtasn1是软件开发者Fabio Fiorina所研发的一个用于GnuTLS中的ASN.1结构管理库。
GNU Libtasn1 4.5之前版本的lib/decoding.c文件中的‘_asn1_extract_der_octet’函数存在安全漏洞。远程攻击者可借助特制的证书利用该漏洞造成拒绝服务（越边界堆读取）。</t>
    <phoneticPr fontId="3" type="noConversion"/>
  </si>
  <si>
    <t>目前厂商已经发布了升级补丁以修复此安全问题，补丁获取链接： 
        https://lists.gnu.org/archive/html/help-libtasn1/2015-04/msg00000.html</t>
    <phoneticPr fontId="3" type="noConversion"/>
  </si>
  <si>
    <t>Ubuntu 14.04 / 14.10 / 15.04 : icu vulnerabilities (USN-2605-1)</t>
    <phoneticPr fontId="3" type="noConversion"/>
  </si>
  <si>
    <t>International Components for Unicode 基于堆的缓冲区溢出漏洞</t>
    <phoneticPr fontId="3" type="noConversion"/>
  </si>
  <si>
    <t>International Components for Unicode（ICU）是美国IBM公司和其他公司共同开发的一个为C/C++和Java编程语言提供了一整套操作Unicode数据的函数库，也是一个用于支持软件国际化的开源项目。
ICU 55.1之前版本中存在基于堆的缓冲区溢出漏洞，该漏洞源于‘resolveImplicitLevels()’函数（common/ubidi.c）中存在错误。攻击者可利用该漏洞造成拒绝服务，控制使用该函数库的应用程序，或执行任意代码。</t>
    <phoneticPr fontId="3" type="noConversion"/>
  </si>
  <si>
    <t>Ubuntu 12.04 LTS / 14.04 / 14.10 / 15.04 : firefox vulnerabilities (USN-2602-1)</t>
    <phoneticPr fontId="3" type="noConversion"/>
  </si>
  <si>
    <t>多款Mozilla产品浏览器引擎安全漏洞</t>
    <phoneticPr fontId="3" type="noConversion"/>
  </si>
  <si>
    <t>Mozilla Firefox、Firefox ESR和Thunderbird都是由美国Mozilla基金会开发。Firefox是一款开源Web浏览器，Firefox ESR是Firefox的一个延长支持版本。Thunderbird是从Mozilla Application Suite中独立出来的一套电子邮件客户端软件。
多款Mozilla产品的浏览器引擎中存在安全漏洞。远程攻击者可利用该漏洞造成拒绝服务（内存损坏和应用程序崩溃），或执行任意代码。以下产品及版本受到影响：基于Linux平台的Mozilla Firefox 37.0.2及之前版本，Firefox ESR 31.7之前31.x版本，Thunderbird 31.5及之前版本。</t>
    <phoneticPr fontId="3" type="noConversion"/>
  </si>
  <si>
    <t>目前厂商已经发布了升级补丁以修复此安全问题，补丁获取链接： 
        http://www.mozilla.org/security/announce/2015/mfsa2015-46.html</t>
    <phoneticPr fontId="3" type="noConversion"/>
  </si>
  <si>
    <t>Ubuntu 12.04 LTS / 14.04 / 14.10 / 15.04 : thunderbird vulnerabilities (USN-2603-1)</t>
    <phoneticPr fontId="3" type="noConversion"/>
  </si>
  <si>
    <t>Ubuntu 12.04 LTS / 14.04 / 14.10 / 15.04 : apport vulnerabilities (USN-2609-1)</t>
    <phoneticPr fontId="3" type="noConversion"/>
  </si>
  <si>
    <t>Apport 本地提权漏洞</t>
    <phoneticPr fontId="3" type="noConversion"/>
  </si>
  <si>
    <t>Ubuntu是英国科能（Canonical）公司和Ubuntu基金会共同开发的一套以桌面应用为主的GNU/Linux操作系统。Apport是其中的一个用于收集并反馈错误信息（当应用程序崩溃时操作系统认为有用的信息）的工具包。
Apport中存在本地提权漏洞。本地攻击者可利用该漏洞获取root权限。</t>
    <phoneticPr fontId="3" type="noConversion"/>
  </si>
  <si>
    <t>Ubuntu 14.04 / 14.10 / 15.04 : oxide-qt vulnerabilities (USN-2610-1)</t>
    <phoneticPr fontId="3" type="noConversion"/>
  </si>
  <si>
    <t>Google Chrome Blink DOM 安全漏洞</t>
    <phoneticPr fontId="3" type="noConversion"/>
  </si>
  <si>
    <t>Blink是美国谷歌（Google）公司和挪威欧朋（Opera Software）公司共同开发的一套浏览器排版引擎（渲染引擎）。
Google Chrome 42.0.2311.152及之前版本中使用的Blink的DOM实现过程中的core/html/parser/HTMLConstructionSite.cpp文件存在安全漏洞。远程攻击者可借助特制的JavaScript代码利用该漏洞绕过同源策略。</t>
    <phoneticPr fontId="3" type="noConversion"/>
  </si>
  <si>
    <t>目前厂商已经发布了升级补丁以修复此安全问题，补丁获取链接： 
        http://googlechromereleases.blogspot.com/2015/05/stable-channel-update_19.html</t>
    <phoneticPr fontId="3" type="noConversion"/>
  </si>
  <si>
    <t>Ubuntu 12.04 LTS / 14.04 / 14.10 / 15.04 : openssl update (USN-2624-1)</t>
    <phoneticPr fontId="3" type="noConversion"/>
  </si>
  <si>
    <t>Ubuntu 12.04 LTS / 14.04 / 14.10/15.04:openssl更新(usn - 2624 - 1)</t>
    <phoneticPr fontId="3" type="noConversion"/>
  </si>
  <si>
    <t>作为一个安全改进,此更新从默认密码列表删除出口密码程序组,以防止可能的使用降级攻击。</t>
    <phoneticPr fontId="3" type="noConversion"/>
  </si>
  <si>
    <t>Ubuntu 12.04 LTS / 14.04 / 14.10 / 15.04 : qt4-x11, qtbase-opensource-src vulnerabilities (USN-2626-1)</t>
    <phoneticPr fontId="3" type="noConversion"/>
  </si>
  <si>
    <t>Digia Qt拒绝服务漏洞</t>
    <phoneticPr fontId="3" type="noConversion"/>
  </si>
  <si>
    <t>Digia Qt是芬兰Digia公司的一套跨平台的C++应用程序开发框架。该框架可用于开发GUI程序。
Digia Qt 5.2.1及之前版本的QtGui中的GIF解码器存在安全漏洞。远程攻击者可借助特制的GIF图像利用该漏洞造成拒绝服务（空指针逆向引用）。</t>
    <phoneticPr fontId="3" type="noConversion"/>
  </si>
  <si>
    <t>目前厂商已经发布了升级补丁以修复此安全问题，补丁获取链接： 
        http://lists.qt-project.org/pipermail/announce/2014-April/000045.html</t>
    <phoneticPr fontId="3" type="noConversion"/>
  </si>
  <si>
    <t>Ubuntu 14.04 / 14.10 : t1utils vulnerability (USN-2627-1)</t>
    <phoneticPr fontId="3" type="noConversion"/>
  </si>
  <si>
    <t>Ubuntu 14.04/14.10:t1utils脆弱性(usn - 2627 - 1)</t>
    <phoneticPr fontId="3" type="noConversion"/>
  </si>
  <si>
    <t>Jakub Wilk发现t1utils错误处理确定畸形的字体。如果一个用户或自动化系统被骗打开一个专门制作的字体,远程攻击者可能崩溃应用程序,可能导致拒绝服务或执行与用户权限任意代码。</t>
    <phoneticPr fontId="3" type="noConversion"/>
  </si>
  <si>
    <t>更新影响t1utils包。</t>
    <phoneticPr fontId="3" type="noConversion"/>
  </si>
  <si>
    <t>Ubuntu 12.04 LTS / 14.04 / 14.10 / 15.04 : cups vulnerabilities (USN-2629-1)</t>
    <phoneticPr fontId="3" type="noConversion"/>
  </si>
  <si>
    <t>Apple CUPS 远程提权漏洞</t>
    <phoneticPr fontId="3" type="noConversion"/>
  </si>
  <si>
    <t>Apple CUPS（Common Unix Printing System）是美国苹果（Apple）公司的一套开源的用于OS X和类Unix系统的打印系统。该系统基于Internet打印协议（IPP），提供大多数PostScript和raster打印机服务。
Apple CUPS中存在远程提权漏洞。攻击者可利用该漏洞获取提升的权限，执行未授权操作。</t>
    <phoneticPr fontId="3" type="noConversion"/>
  </si>
  <si>
    <t>Ubuntu 12.04 LTS / 14.04 / 14.10 / 15.04 : openssl vulnerabilities (USN-2639-1)</t>
    <phoneticPr fontId="3" type="noConversion"/>
  </si>
  <si>
    <t>OpenSSL‘dtls1_clear_queues’函数拒绝服务漏洞</t>
    <phoneticPr fontId="3" type="noConversion"/>
  </si>
  <si>
    <t>OpenSSL是OpenSSL团队开发的一个开源的能够实现安全套接层（SSL v2/v3）和安全传输层（TLS v1）协议的通用加密库，它支持多种加密算法，包括对称密码、哈希算法、安全散列算法等。
OpenSSL的ssl/d1_lib.c文件中的‘dtls1_clear_queues’函数存在安全漏洞，该漏洞源于程序缓冲ChangeCipherSpec和Finished消息之间的应用程序数据时，没有正确释放数据结构。远程攻击者可借助应用程序数据利用该漏洞造成拒绝服务（内存损坏和应用程序崩溃）。以下版本受到影响：OpenSSL 0.9.8za之前版本，1.0.0m之前1.0.0版本，1.0.1h之前1.0.1版本。</t>
    <phoneticPr fontId="3" type="noConversion"/>
  </si>
  <si>
    <t>Ubuntu 12.04 LTS / 14.04 / 14.10 / 15.04 : wpa, wpasupplicant vulnerabilities (USN-2650-1)</t>
    <phoneticPr fontId="3" type="noConversion"/>
  </si>
  <si>
    <t>hostapd和wpa_supplicant WPS UPnP功能缓冲区溢出漏洞</t>
    <phoneticPr fontId="3" type="noConversion"/>
  </si>
  <si>
    <t>hostapd是一个实现了无线接入点（AP）和认证服务器的守护进程。wpa_supplicant是软件开发者Jouni Malinen和其他贡献者共同开发的一个运行在后台的守护进程，它主要用来支持WEP、WPA/WPA2和WAPI无线协议和加密认证。
hostapd（使用WPS AP）0.7.0版本至2.4版本和wpa_supplicant（使用WPS external registrar）0.7.0版本至2.4版本中的WPS UPnP功能存在安全漏洞。远程攻击者可借助负的数据块长度利用该漏洞造成拒绝服务（崩溃）。</t>
    <phoneticPr fontId="3" type="noConversion"/>
  </si>
  <si>
    <t>目前厂商已经发布了升级补丁以修复此安全问题，补丁获取链接： 
        http://w1.fi/security/2015-2/wps-upnp-http-chunked-transfer-encoding.txt</t>
    <phoneticPr fontId="3" type="noConversion"/>
  </si>
  <si>
    <t>Ubuntu 12.04 LTS / 14.04 / 14.10 : patch vulnerabilities (USN-2651-1)</t>
    <phoneticPr fontId="3" type="noConversion"/>
  </si>
  <si>
    <t>GNU patch util.c目录遍历漏洞</t>
    <phoneticPr fontId="3" type="noConversion"/>
  </si>
  <si>
    <t>GNU patch2.6.1及之前版本中的util.c中存在目录遍历漏洞。由于没有正确处理补丁中的路径，用户协助的远程攻击者可以借助指定带有“..”或者完整路径名称的文件名称，创建或者覆盖任意文件。</t>
    <phoneticPr fontId="3" type="noConversion"/>
  </si>
  <si>
    <t>目前厂商已经发布了升级补丁以修复此安全问题，补丁获取链接： 
        http://git.savannah.gnu.org/cgit/patch.git/commit/?id=685a78b6052f4df6eac6d625a545cfb54a6ac0e1</t>
    <phoneticPr fontId="3" type="noConversion"/>
  </si>
  <si>
    <t>Ubuntu 12.04 LTS / 14.04 / 14.10 : python2.7, python3.2, python3.4 vulnerabilities (USN-2653-1)</t>
    <phoneticPr fontId="3" type="noConversion"/>
  </si>
  <si>
    <t>Python ‘readline()’函数拒绝服务漏洞</t>
    <phoneticPr fontId="3" type="noConversion"/>
  </si>
  <si>
    <t>Python是Python软件基金会的一套开源的、面向对象的程序设计语言。该语言具有可扩展、支持模块和包、支持多种平台等特点。 
        Python中存在拒绝服务漏洞。攻击者可利用该漏洞造成受影响应用程序消耗大量的内存，导致拒绝服务。</t>
    <phoneticPr fontId="3" type="noConversion"/>
  </si>
  <si>
    <t>Ubuntu 12.04 LTS / 14.04 / 14.10 / 15.04 : unattended-upgrades vulnerability (USN-2657-1)</t>
    <phoneticPr fontId="3" type="noConversion"/>
  </si>
  <si>
    <t>unattended-upgrades 授权问题漏洞</t>
    <phoneticPr fontId="3" type="noConversion"/>
  </si>
  <si>
    <t>unattended-upgrades是软件开发者Michael Vogt所维护的一个自动安装安全升级的脚本。
unattended-upgrades 0.86.1之前版本中存在安全漏洞，该漏洞源于当程序在DPkg::Options::* apt配置中启用‘force-confold’或‘force-confnew’dpkg选项时，没有正确对程序包执行身份验证。远程攻击者可利用该漏洞实施中间人攻击，上传并执行任意程序包。</t>
    <phoneticPr fontId="3" type="noConversion"/>
  </si>
  <si>
    <t>目前厂商已经发布了升级补丁以修复此安全问题，补丁获取链接： 
        http://metadata.ftp-master.debian.org/changelogs//main/u/unattended-upgrades/unattended-upgrades_0.86.1_changelog</t>
    <phoneticPr fontId="3" type="noConversion"/>
  </si>
  <si>
    <t>Ubuntu 14.04 / 14.10 / 15.04 : oxide-qt vulnerabilities (USN-2652-1)</t>
    <phoneticPr fontId="3" type="noConversion"/>
  </si>
  <si>
    <t>Google Chrome 安全漏洞</t>
    <phoneticPr fontId="3" type="noConversion"/>
  </si>
  <si>
    <t>Google Chrome是美国谷歌（Google）公司开发的一款Web浏览器。
Google Chrome 43.0.2357.81及之前版本的content/browser/webui/content_web_ui_controller_factory.cc文件中存在安全漏洞，该漏洞源于程序在确定URL是否与WebUI SiteInstance相关时，没有正确验证方案。远程攻击者可借助相似的URL利用该漏洞绕过既定的访问限制。</t>
    <phoneticPr fontId="3" type="noConversion"/>
  </si>
  <si>
    <t>目前厂商已经发布了升级补丁以修复此安全问题，补丁获取链接： 
        http://googlechromereleases.blogspot.com/2015/06/chrome-stable-update.html</t>
    <phoneticPr fontId="3" type="noConversion"/>
  </si>
  <si>
    <t>Ubuntu 12.04 LTS / 14.04 / 14.10 / 15.04 : cups-filters vulnerabilities (USN-2659-1)</t>
    <phoneticPr fontId="3" type="noConversion"/>
  </si>
  <si>
    <t>cups-filters‘texttopdf’基于堆的缓冲区溢出漏洞</t>
    <phoneticPr fontId="3" type="noConversion"/>
  </si>
  <si>
    <t>Apple CUPS（Common Unix Printing System）是美国苹果（Apple）公司的一套开源的用于OS X和类Unix系统的打印系统。cups-filters是一个提供了CUPS过滤器的包。
cups-filters中存在远程基于堆的缓冲区溢出漏洞。攻击者可利用该漏洞以‘lp’用户权限执行任意代码，也可能造成拒绝服务。</t>
    <phoneticPr fontId="3" type="noConversion"/>
  </si>
  <si>
    <t>目前厂商已经发布了升级补丁以修复此安全问题，补丁获取链接： 
        http://bzr.linuxfoundation.org/loggerhead/openprinting/cups-filters/revision/7363</t>
    <phoneticPr fontId="3" type="noConversion"/>
  </si>
  <si>
    <t>Ubuntu 12.04 LTS / 14.04 / 14.10 / 15.04 : libwmf vulnerabilities (USN-2670-1)</t>
    <phoneticPr fontId="3" type="noConversion"/>
  </si>
  <si>
    <t>libwmf‘DecodeImage()’函数基于堆的缓冲区溢出漏洞</t>
    <phoneticPr fontId="3" type="noConversion"/>
  </si>
  <si>
    <t>libwmf是一个用于读取和显示微软的WMF（Windows图元文件格式）图形的函数库。
libwmf中存在基于堆的缓冲区溢出漏洞，该漏洞源于程序没有对用户提交的输入执行正确的边界检查。攻击者可利用该漏洞在受影响应用程序上下文中执行任意代码，也可能造成拒绝服务。libwmf 0.2-7版本中存在漏洞，其他版本也可能受到影响。</t>
    <phoneticPr fontId="3" type="noConversion"/>
  </si>
  <si>
    <t>Mozilla Network Security Services 安全漏洞</t>
    <phoneticPr fontId="3" type="noConversion"/>
  </si>
  <si>
    <t>Mozilla Firefox、Firefox ESR和Thunderbird都是由美国Mozilla基金会开发。Firefox是一款开源Web浏览器；Firefox ESR是Firefox的一个延长支持版本；Thunderbird是从Mozilla Application Suite中独立出来的一套电子邮件客户端软件。Mozilla Network Security Services（NSS）是一个函数库（网络安全服务库）。
多款Mozilla产品中使用的Mozilla NSS中存在安全漏洞，该漏洞源于程序没有正确确定TLS状态机的状态转换。攻击者可利用该漏洞实施中间人攻击，破坏加密保护机制。以下产品及版本受到影响：Mozilla Firefox 39.0之前版本，Firefox ESR 31.8之前31.x版本和38.1之前38.x版本，Thunderbird 38.1之前版本，Mozilla NSS 3.19之前版本。</t>
    <phoneticPr fontId="3" type="noConversion"/>
  </si>
  <si>
    <t>目前厂商已经发布了升级补丁以修复此安全问题，补丁获取链接： 
        http://www.mozilla.org/security/announce/2015/mfsa2015-71.html</t>
    <phoneticPr fontId="3" type="noConversion"/>
  </si>
  <si>
    <t>Ubuntu 12.04 LTS / 14.04 / 14.10 / 15.04 : nss vulnerabilities (USN-2672-1)</t>
    <phoneticPr fontId="3" type="noConversion"/>
  </si>
  <si>
    <t>目前厂商已经发布了升级补丁以修复此安全问题，补丁获取链接： 
        http://www.mozilla.org/security/announce/2015/mfsa2015-71.html</t>
    <phoneticPr fontId="3" type="noConversion"/>
  </si>
  <si>
    <t>Ubuntu 12.04 LTS / 14.04 / 15.04 : pcre3 vulnerabilities (USN-2694-1)</t>
    <phoneticPr fontId="3" type="noConversion"/>
  </si>
  <si>
    <t>PCRE 基于堆的缓冲区溢出漏洞</t>
    <phoneticPr fontId="3" type="noConversion"/>
  </si>
  <si>
    <t>PCRE（Perl Compatible Regular Expressions）是软件开发者Philip Hazel所研发的一个使用C语言编写的开源正则表达式函数库。
PCRE 8.36及之前版本中存在基于堆的缓冲区溢出漏洞。远程攻击者可借助特制的正则表达式利用该漏洞造成拒绝服务（崩溃）。</t>
    <phoneticPr fontId="3" type="noConversion"/>
  </si>
  <si>
    <t>Ubuntu 12.04 LTS / 14.04 / 15.04 : ghostscript vulnerability (USN-2697-1)</t>
    <phoneticPr fontId="3" type="noConversion"/>
  </si>
  <si>
    <t>Artifex Software Ghostscript's/base/gsmalloc.c'远程整数溢出漏洞</t>
    <phoneticPr fontId="3" type="noConversion"/>
  </si>
  <si>
    <t>PostScript（PS）是一种用于电子产业和桌面出版领域的页面描述语言和编程语言。Artifex Software Ghostscript是美国Artifex Software公司的一款开源的PostScript解析器，它可显示Postscript文件以及在非Postscript打印机上打印Postscript文件。
Artifex Software Ghostscript中存在远程整数溢出漏洞。攻击者可利用该漏洞在用户运行的受影响应用程序上下文中执行任意代码，也可能使应用程序崩溃，拒绝服务合法用户。</t>
    <phoneticPr fontId="3" type="noConversion"/>
  </si>
  <si>
    <t>Ubuntu 12.04 LTS / 14.04 / 15.04 : sqlite3 vulnerabilities (USN-2698-1)</t>
    <phoneticPr fontId="3" type="noConversion"/>
  </si>
  <si>
    <t>Ubuntu 12.04 LTS / 14.04/15.04:sqlite3漏洞(usn - 2698 - 1)</t>
    <phoneticPr fontId="3" type="noConversion"/>
  </si>
  <si>
    <t>这是发现SQLite错误就可以执行处理优化。攻击者可以利用这个问题导致应用程序使用SQLite崩溃,或可能导致拒绝服务执行任意代码。这个问题只影响了Ubuntu 14.04 LTS。（cve - 2013 - 7443)
米甲Zalewski发现SQLite dequoting错误处理对并顺序的名字。攻击者可以利用这个问题的原因使用SQLite的应用程序崩溃,导致拒绝服务,或者执行任意代码。这个问题只影响了UbuntuUbuntu 14.04 LTS和15.04。(cve - 2015 - 3414)
米甲Zalewski发现SQLite正确实施比较运算符。攻击者可以利用这个问题的原因使用SQLite的应用程序崩溃,导致拒绝服务,或者执行任意代码。这个问题只影响了Ubuntu15.04。(cve - 2015 - 3415)
米甲Zalewski发现SQLite printf错误处理在浮点转换精度和宽度值。一个攻击者可以利用这个问题导致使用SQLite的应用程序崩溃,导致拒绝服务,或者执行任意代码。(cve - 2015 - 3416)”</t>
    <phoneticPr fontId="3" type="noConversion"/>
  </si>
  <si>
    <t>更新影响libsqlite3-0包。</t>
    <phoneticPr fontId="3" type="noConversion"/>
  </si>
  <si>
    <t>Ubuntu 14.04 / 15.04 : oxide-qt vulnerabilities (USN-2677-1)</t>
    <phoneticPr fontId="3" type="noConversion"/>
  </si>
  <si>
    <t>Google Chrome International Components for Unicode 拒绝服务漏洞</t>
    <phoneticPr fontId="3" type="noConversion"/>
  </si>
  <si>
    <t>Google Chrome是美国谷歌（Google）公司开发的一款Web浏览器。International Components for Unicode（ICU）是一个Unicode支持、软件国际化、全球化的C/C++和Java库。
Google Chrome 44.0.2403.89之前版本中使用的ICU中的common/ucnv_io.cpp文件中的‘ucnv_io_getConverterName’函数存在安全漏洞，该漏洞源于程序没有正确处理以‘x-’子串开始的转化器名称。远程攻击者可借助特制的文件利用该漏洞拒绝服务（未初始化内存读取）。</t>
    <phoneticPr fontId="3" type="noConversion"/>
  </si>
  <si>
    <t xml:space="preserve">目前厂商已经发布了升级补丁以修复此安全问题，补丁获取链接： 
        http://googlechromereleases.blogspot.com/2015/07/stable-channel-update_21.html
</t>
    <phoneticPr fontId="3" type="noConversion"/>
  </si>
  <si>
    <t>Ubuntu 12.04 LTS / 14.04 / 15.04 : firefox vulnerability (USN-2707-1)</t>
    <phoneticPr fontId="3" type="noConversion"/>
  </si>
  <si>
    <t>Ubuntu 12.04 LTS / 14.04/15.04:firefox脆弱性(usn - 2707 - 1)</t>
    <phoneticPr fontId="3" type="noConversion"/>
  </si>
  <si>
    <t>科迪人员发现了一种违反了同源策略注入脚本在一个非特权PDF查看器的一部分。如果一个用户在打开一个专门的欺骗网站,攻击者可以利用这个从本地文件读取敏感信息。(cve - 2015 - 4495)”</t>
  </si>
  <si>
    <t>更新影响到firefox包。</t>
    <phoneticPr fontId="3" type="noConversion"/>
  </si>
  <si>
    <t>Ubuntu 12.04 LTS / 14.04 / 15.04 : firefox vulnerabilities (USN-2702-1)</t>
    <phoneticPr fontId="3" type="noConversion"/>
  </si>
  <si>
    <t>Ubuntu 12.04 LTS / 14.04/15.04:firefox漏洞(usn - 2702 - 1)</t>
    <phoneticPr fontId="3" type="noConversion"/>
  </si>
  <si>
    <t>加里邝,基督教叫喊,拜伦Campen,泰森史密斯,华立,鲍比克里斯·库尔森和埃里克•拉姆发现多个内存安全问题在Firefox中。如果用户被骗在打开一个专门制作的
网站,攻击者可能会利用这些导致否认通过应用程序的服务崩溃,或执行任意代码特权用户调用的Firefox。(cve - 2015 - 4473,
cve - 2015 - 4474)
安琪和发现一个界外阅读当玩畸形的MP3在某些情况下的内容。如果一个用户在打开一个欺骗特别制作的网站,攻击者可能会利用这一点获取敏感信息,造成拒绝服务通过应用程序崩溃,或执行任意代码的权限Firefox用户调用。(cve - 2015 - 4475)一些use-after-free MediaStream回放期间被发现环境。如果一个用户在打开一个专门欺骗的网站,攻击者可能会利用这种导致通过应用程序崩溃或拒绝服务执行任意代码用户的特权,都调用Firefox。(cve - 2015 - 4477)Andr茅Bargull发现不可配置属性
JavaScript对象解析JSON时可以重新定义。如果一个用户在打开一个精雕细琢的欺骗网站,攻击者有可能利用这个绕过同源的限制。（cve - 2015 - 4478)
多个整数溢出libstagefright发现的。如果一个用户在打开一个精雕细琢的欺骗网站,一个攻击者可能会利用这些导致拒绝服务通过应用程序崩溃,或执行任意代码的权限Firefox的用户调用。(cve cve - 2015 - 4479 - 2015 - 4480,cve - 2015 - 4493)
Jukka Jyl盲nki发现崩溃是因为JavaScript门不当使用原子或SharedArrayBuffers一些环境。如果一个用户在打开一个专门欺骗的网站,攻击者可能利用这种导致拒绝服务。(cve - 2015 - 4484)
阿布Arya发现2 libvpx当解码缓冲区溢出在某些情况下畸形WebM内容。如果用户被骗在打开一个精雕细琢的网站中,攻击者有可能利用这些通过应用程序导致拒绝服务崩溃,或者与用户的权限执行任意代码
调用Firefox。(cve cve - 2015 - 4485 - 2015 - 4486)
罗纳德·起重机报道3安全问题。如果用户被骗打开一个专门制作的网站,攻击者可能利用这些,结合另一个安全漏洞通过应用程序崩溃,造成拒绝服务或执行任意的
代码的特权用户调用Firefox。(cve - 2015 - 4487,
cve cve - 2015 - 2015 - 2015 - 4489)
Christoph Kerschbaumer与Mozilla的发现了一个问题实现内容的安全政策(CSP),这将允许在一些cirucumstances更宽容的用法。攻击者可以可能利用这个进行跨站点脚本(XSS)攻击。(cve - 2015 - 4490)
Gustavo格雷科在gdk-pixbuf发现了一堆溢出。如果一个用户在打开一个精雕细琢的欺骗网站,攻击者可能会导致拒绝服务通过利用这个吗应用程序崩溃或的特权,都执行任意代码Firefox用户调用。(cve - 2015 - 4491)
Looben杨发现use-after-free当使XMLHttpRequest
在某些情况下,共享的工人。如果用户被骗打开一个专门制作的网站,攻击者可能利用这个通过应用程序崩溃或引起拒绝服务与用户的特权,都调用执行任意代码Firefox。(cve - 2015 - 4492)”。</t>
  </si>
  <si>
    <t>更新影响到firefox包。</t>
    <phoneticPr fontId="3" type="noConversion"/>
  </si>
  <si>
    <t>Ubuntu 12.04 LTS / 14.04 / 15.04 : ubufox update (USN-2702-2)</t>
    <phoneticPr fontId="3" type="noConversion"/>
  </si>
  <si>
    <t>Ubuntu 12.04 LTS / 14.04/15.04:ubufox更新(usn - 2702 - 2)</t>
    <phoneticPr fontId="3" type="noConversion"/>
  </si>
  <si>
    <t>Ubuntu 12.04 LTS / 14.04 / 15.04 : net-snmp vulnerabilities (USN-2711-1)</t>
    <phoneticPr fontId="3" type="noConversion"/>
  </si>
  <si>
    <t>Net-SNMP snmptrapd 资源管理错误漏洞</t>
    <phoneticPr fontId="3" type="noConversion"/>
  </si>
  <si>
    <t>Net-SNMP是一套开源的简单网络管理协议（Simple Network Management Protocol）软件。该软件用于监控网络设备、电脑设备、UPS设备等。
Net-SNMP 5.7.0及之前版本中的snmplib/mib.c文件中存在安全漏洞。远程攻击者可借助特制的SNMP trap消息利用该漏洞造成拒绝服务（snmptrapd崩溃）。</t>
    <phoneticPr fontId="3" type="noConversion"/>
  </si>
  <si>
    <t>Ubuntu 12.04 LTS / 14.04 / 15.04 : firefox regression (USN-2702-3)</t>
    <phoneticPr fontId="3" type="noConversion"/>
  </si>
  <si>
    <t>Ubuntu 12.04 LTS / 14.04/15.04:firefox回归(usn - 2702 - 3)</t>
    <phoneticPr fontId="3" type="noConversion"/>
  </si>
  <si>
    <t>Ubuntu 12.04 LTS / 14.04 / 15.04 : thunderbird vulnerabilities (USN-2712-1)</t>
    <phoneticPr fontId="3" type="noConversion"/>
  </si>
  <si>
    <t>Ubuntu 12.04 LTS / 14.04/15.04:迅雷漏洞(usn - 2712 - 1)</t>
  </si>
  <si>
    <t>Ubuntu 12.04 LTS / 14.04 / 15.04 : gdk-pixbuf vulnerability (USN-2722-1)</t>
    <phoneticPr fontId="3" type="noConversion"/>
  </si>
  <si>
    <t>Ubuntu 12.04 LTS / 14.04/15.04:gdk-pixbuf脆弱性(usn - 2722 - 1)</t>
    <phoneticPr fontId="3" type="noConversion"/>
  </si>
  <si>
    <t>Gustavo格雷科发现GDK-PixBuf正确缩放处理位图图像。如果一个用户或自动化系统被骗BMP图像文件,远程攻击者可以利用这一缺陷的原因GDK-PixBuf崩溃,或可能导致拒绝服务执行任意代码。</t>
    <phoneticPr fontId="3" type="noConversion"/>
  </si>
  <si>
    <t>更新影响libgdk-pixbuf2.0-0包。</t>
    <phoneticPr fontId="3" type="noConversion"/>
  </si>
  <si>
    <t>Ubuntu 12.04 LTS / 14.04 / 15.04 : firefox vulnerabilities (USN-2723-1)</t>
    <phoneticPr fontId="3" type="noConversion"/>
  </si>
  <si>
    <t>Ubuntu 12.04 LTS / 14.04/15.04:firefox漏洞(usn - 2723 - 1)</t>
    <phoneticPr fontId="3" type="noConversion"/>
  </si>
  <si>
    <t>在某些情况下,use-after-free重塑期间调整画布元素时被发现。如果用户被骗在开放一个专门制作的网站,攻击者可能会利用这导致拒绝服务通过应用程序崩溃,或执行任意代码的特权用户调用Firefox。
(cve - 2015 - 4497)Bas像发现插件安装许可提示
在某些情况下绕过使用数据:url。这也是发现安装通知可以出现在另一个网站。如果一个用户在打开一个专门欺骗的网站,攻击者可能会利用这个安装一个恶意插件。(cve - 2015 - 4498)。</t>
  </si>
  <si>
    <t>Ubuntu 12.04 LTS / 14.04 / 15.04 : expat vulnerability (USN-2726-1)</t>
    <phoneticPr fontId="3" type="noConversion"/>
  </si>
  <si>
    <t>Google Chrome Expat 数字错误漏洞</t>
    <phoneticPr fontId="3" type="noConversion"/>
  </si>
  <si>
    <t>Google Chrome是美国谷歌（Google）公司开发的一款Web浏览器。Expat是美国软件开发者吉姆-克拉克所研发的一个基于C语言的XML解析器库，它采用了一个面向流的解析器。
Google Chrome 44.0.2403.89之前版本中使用的Expat 2.1.0及之前版本中的‘XML_GetBuffer’函数存在整数溢出漏洞。远程攻击者可借助特制的XML数据利用该漏洞造成拒绝服务（基于堆的缓冲区溢出）。</t>
    <phoneticPr fontId="3" type="noConversion"/>
  </si>
  <si>
    <t>目前厂商已经发布了升级补丁以修复此安全问题，补丁获取链接： 
        http://googlechromereleases.blogspot.com/2015/07/stable-channel-update_21.html</t>
    <phoneticPr fontId="3" type="noConversion"/>
  </si>
  <si>
    <t>Ubuntu 12.04 LTS / 14.04 / 15.04 : libvdpau vulnerabilities (USN-2729-1)</t>
    <phoneticPr fontId="3" type="noConversion"/>
  </si>
  <si>
    <t>Ubuntu 12.04 LTS / 14.04/15.04:libvdpau漏洞(usn - 2729 - 1)</t>
    <phoneticPr fontId="3" type="noConversion"/>
  </si>
  <si>
    <t>Florian Weimer发现libvdpau错误处理确定环境变量。本地攻击者可能会使用这个问题获得特权。</t>
    <phoneticPr fontId="3" type="noConversion"/>
  </si>
  <si>
    <t>更新影响libvdpau1包。</t>
    <phoneticPr fontId="3" type="noConversion"/>
  </si>
  <si>
    <t>Ubuntu 14.04 / 15.04 : oxide-qt vulnerabilities (USN-2735-1)</t>
    <phoneticPr fontId="3" type="noConversion"/>
  </si>
  <si>
    <t>Ubuntu 14.04/15.04:oxide-qt漏洞(usn - 2735 - 1)</t>
    <phoneticPr fontId="3" type="noConversion"/>
  </si>
  <si>
    <t>在某些情况下，发现在解析DOM树可能损坏。如果一个用户在打开一个精心制作的欺骗网站,攻击者可能会利用这一点绕过同源限制或引起拒绝服务。
(cve - 2015 - 1291)
在NavigatorServiceWorker发现了一个问题:serviceWorker。如果用户被骗在打开一个专门制作的网站,攻击者可能会利用这种绕过同源的限制。(cve - 2015 - 1292)
一个问题被发现在Blink的DOM实现。如果一个用户在打开一个精雕细琢的欺骗网站,攻击者有可能利用这个绕过同源的限制。(cve - 2015 - 1293)
Skia use-after-free被发现。如果用户被骗
打开一个专门制作的网站,攻击者可能利用这个通过渲染器崩溃,造成拒绝服务执行任意代码沙箱渲染的特权
的过程。(cve - 2015 - 1294)
一个use-after-free shared-timer实现中被发现
。如果用户被骗在打开一个专门制作的网站,攻击者可能会利用这个通过渲染器崩溃导致否认服务,或执行任意代码特权的沙箱渲染过程。(cve - 2015 - 1299)
他们发现iframe资源的可用性时间API次没有适当地限制在某些情况下。如果一个用户在打开一个精雕细琢的欺骗网站,攻击者可能会利用这个来获取敏感信息。
(cve - 2015 - 1300)
在铬多个安全问题被发现。如果一个用户在打开一个精雕细琢的欺骗网站,攻击者可以未初始化内存可能利用这些阅读,通过应用程序崩溃或执行任意代码特权用户调用的程序导致否认服务。(cve - 2015 - 1301)一堆腐败问题被发现氧化::JavaScriptDialogManager。如果一个用户在打开一个特别制作的欺骗网站,攻击者可能会利用这一点通过应用程序崩溃,造成拒绝服务或执行任意代码调用程序的用户的特权。(cve - 2015 - 1332)”。</t>
  </si>
  <si>
    <t>更新影响liboxideqtcore0包。</t>
    <phoneticPr fontId="3" type="noConversion"/>
  </si>
  <si>
    <t>Ubuntu 12.04 LTS / 14.04 / 15.04 : freetype vulnerabilities (USN-2739-1)</t>
    <phoneticPr fontId="3" type="noConversion"/>
  </si>
  <si>
    <t>Ubuntu 12.04 LTS / 14.04/15.04:freetype的漏洞(usn - 2739 - 1)</t>
    <phoneticPr fontId="3" type="noConversion"/>
  </si>
  <si>
    <t>发现FreeType的不正确处理确定畸形的字体文件。如果一个用户使用一个特别被骗的字体文件,远程攻击者可能会导致FreeType崩溃或挂,导致拒绝服务或可能暴露未初始化的内存。</t>
    <phoneticPr fontId="3" type="noConversion"/>
  </si>
  <si>
    <t>更新影响libfreetype6包。</t>
    <phoneticPr fontId="3" type="noConversion"/>
  </si>
  <si>
    <t>Ubuntu 12.04 LTS / 14.04 / 15.04 : icu vulnerabilities (USN-2740-1)</t>
    <phoneticPr fontId="3" type="noConversion"/>
  </si>
  <si>
    <t>紧急</t>
    <phoneticPr fontId="3" type="noConversion"/>
  </si>
  <si>
    <t xml:space="preserve">目前厂商已经发布了升级补丁以修复此安全问题，补丁获取链接： 
        http://googlechromereleases.blogspot.com/2015/07/stable-channel-update_21.html
</t>
    <phoneticPr fontId="3" type="noConversion"/>
  </si>
  <si>
    <t>Ubuntu 12.04 LTS / 14.04 / 15.04 : firefox vulnerabilities (USN-2743-1)</t>
    <phoneticPr fontId="3" type="noConversion"/>
  </si>
  <si>
    <t>Ubuntu 12.04 LTS / 14.04/15.04:firefox漏洞(usn - 2743 - 1)</t>
    <phoneticPr fontId="3" type="noConversion"/>
  </si>
  <si>
    <t xml:space="preserve">Andrew Osmond, Olli Pettay, Andrew Sutherland, Christian Holler, David
Major, Andrew McCreight, Cameron McCormack, Bob Clary and Randell
Jesup  在Firefox Jesup发现多个内存安全问题。如果一个用户在打开一个精雕细琢的欺骗网站,攻击者
有可能利用这些通过应用程序崩溃,或执行任意代码的权限Firefox用户调用导致拒绝服务。(cve cve - 2015 - 4500 - 2015 - 4501)
Andr茅Bargull发现当一个web页面创建一个脚本的代理窗口处理程序定义了一个特定的方式,一个参考内部的窗口将被传递,而不是外部窗口。(cve - 2015 - 4502)
Felix Gr枚伯特发现在某些情况下管理图书馆，在药物颜色管理禁止阅读。如果用户被骗打开一个专门制作的网站,攻击者可能利用这个通过应用程序崩溃,造成拒绝服务获得敏感信息。(cve - 2015 - 4504)
哈利勒Zhani女士发现某些情况下缓冲区溢出当解析VP9内容。如果一个用户在打开一个专门欺骗的网站,攻击者可能会利用这种导致通过应用程序崩溃,拒绝服务或执行任意代码Firefox的特权用户调用。(cve - 2015 - 4506)
Spandan Veggalam发现某些情况下使用调试器API
崩溃。如果一个用户在打开一个专门欺骗的网站同时使用调试器,攻击者可以可能利用这个特权来执行任意代码调用Firefox的用户。(cve - 2015 - 4507)
Juho Nurminen发现在某些情况下在读者模式地址栏可以显示错误的URL。如果用户被骗打开一个专门制作的网站,攻击者可能利用这种URL进行欺骗攻击。(cve - 2015 - 4508)
在某些情况下，一个use-after-free操纵HTML媒体内容时被发现。如果一个用户在打开一个特别制作的欺骗
网站,攻击者可能会利用这一点通过应用程序崩溃,造成拒绝服务或执行任意代码调用Firefox的特权用户。
(cve - 2015 - 4509)
Looben杨时发现use-after-free使用共享的工人
在某些情况下IndexedDB。如果用户被骗打开一个专门制作的网站,攻击者可能利用这个通过应用程序崩溃,造成拒绝服务执行任意代码的特权用户调用
Firefox。(cve - 2015 - 4510)
旧金山阿隆索期间发现了在某些情况下呈现一个界外读2 d画布。如果用户被骗在开放一个专门制作的网站,攻击者可能会利用这种获得敏感信息。(cve - 2015 - 4512)
杰夫·瓦尔登湖发现在某些情况下属性变化可以使得不可变的。如果用户被骗在打开一个专门制作的网站,攻击者可能会利用这种特权的范围中执行任意脚本。
(cve - 2015 - 4516)
罗纳德·起重机报道多个漏洞。如果用户被骗在打开一个精雕细琢的网站中,攻击者有可能利用这些通过应用程序导致拒绝服务崩溃,或者与用户的权限执行任意代码调用Firefox。(cve cve - 2015 - 4517 - 2015 - 4521,cve - 2015 - 4522,cve cve - 2015 - 2015 - 2015 - 7175,cve - 2015 - 7176,cve - 2015 - 7177,cve - 2015 - 7180)
马里奥戈麦斯发现拖拽一个图像后暴露了重定向URL重定向脚本。攻击者可以可能会利用这个来获取敏感信息。(cve - 2015 - 4519)
•Akhgari在 CORS起飞前的请求发现两个问题。一个攻击者可能会利用这些绕过 CORS的限制。
(cve - 2015 - 4520)”。
</t>
    <phoneticPr fontId="3" type="noConversion"/>
  </si>
  <si>
    <t>Ubuntu 12.04 LTS / 14.04 / 15.04 : ubufox update (USN-2743-2)</t>
    <phoneticPr fontId="3" type="noConversion"/>
  </si>
  <si>
    <t>Ubuntu 12.04 LTS / 14.04/15.04:ubufox更新(usn - 2743 - 2)</t>
    <phoneticPr fontId="3" type="noConversion"/>
  </si>
  <si>
    <t>更新影响xul-ext-ubufox包。</t>
    <phoneticPr fontId="3" type="noConversion"/>
  </si>
  <si>
    <t>Ubuntu 14.04 / 15.04 : unity-firefox-extension, webapps-greasemonkey, webaccounts-browser-extension update (USN-2743-3)</t>
    <phoneticPr fontId="3" type="noConversion"/>
  </si>
  <si>
    <t>Ubuntu 14.04/15.04:unity-firefox-extension webapps-greasemonkey webaccounts-browser-extension更新(usn - 2743 - 3)</t>
    <phoneticPr fontId="3" type="noConversion"/>
  </si>
  <si>
    <t>更新影响xul-ext-unity xul-ext-webaccounts或xul-ext-websites-integration包</t>
    <phoneticPr fontId="3" type="noConversion"/>
  </si>
  <si>
    <t>Ubuntu 12.04 LTS / 14.04 / 15.04 : apport vulnerability (USN-2744-1)</t>
    <phoneticPr fontId="3" type="noConversion"/>
  </si>
  <si>
    <t>Ubuntu 12.04 LTS / 14.04 / 15.04 : firefox regression (USN-2743-4)</t>
    <phoneticPr fontId="3" type="noConversion"/>
  </si>
  <si>
    <t>Ubuntu 12.04 LTS / 14.04/15.04:firefox回归(usn - 2743 - 4)</t>
    <phoneticPr fontId="3" type="noConversion"/>
  </si>
  <si>
    <t>Ubuntu 12.04 LTS / 14.04 / 15.04 : thunderbird vulnerabilities (USN-2754-1)</t>
    <phoneticPr fontId="3" type="noConversion"/>
  </si>
  <si>
    <t>Ubuntu 12.04 LTS / 14.04/15.04:迅雷漏洞(usn - 2754 - 1)</t>
  </si>
  <si>
    <t>更新影响迅雷包。</t>
    <phoneticPr fontId="3" type="noConversion"/>
  </si>
  <si>
    <t>Ubuntu 14.04 / 15.04 : oxide-qt vulnerabilities (USN-2757-1)</t>
    <phoneticPr fontId="3" type="noConversion"/>
  </si>
  <si>
    <t>Ubuntu 14.04/15.04:oxide-qt漏洞(usn - 2757 - 1)</t>
    <phoneticPr fontId="3" type="noConversion"/>
  </si>
  <si>
    <t>在Blink和V8两个安全问题被发现。如果一个用户在打开一个精雕细琢的欺骗网站,攻击者可以有可能利用这些绕过同源的限制。
(cve cve - 2015 - 1303 - 2015 - 1304)。</t>
    <phoneticPr fontId="3" type="noConversion"/>
  </si>
  <si>
    <t>Ubuntu 12.04 LTS / 14.04 / 15.04 : gdk-pixbuf vulnerabilities (USN-2767-1)</t>
    <phoneticPr fontId="3" type="noConversion"/>
  </si>
  <si>
    <t>Ubuntu 12.04 LTS / 14.04/15.04:gdk-pixbuf漏洞(usn - 2767 - 1)</t>
    <phoneticPr fontId="3" type="noConversion"/>
  </si>
  <si>
    <t>Gustavo格雷科发现GDK-PixBuf图书馆不正确处理扩展tga图像文件,导致堆溢出。如果一个用户或自动化系统被骗打开tga图像文件,远程攻击者可以利用这个漏洞导致GDK-PixBuf崩溃,可能导致拒绝服务或执行任意代码。(cve - 2015 - 7673)
Gustavo格雷科发现在处理某些GIF图像时GDK-PixBuf库包含一个整数溢出。如果一个用户或自动化系统被骗开一个GIF图像文件,远程攻击者可以利用这个漏洞导致GDK-PixBuf崩溃,产生的拒绝服务,或者执行任意代码。(cve - 2015 - 7674)。</t>
    <phoneticPr fontId="3" type="noConversion"/>
  </si>
  <si>
    <t>更新影响libgdk-pixbuf2.0-0包。</t>
    <phoneticPr fontId="3" type="noConversion"/>
  </si>
  <si>
    <t>Ubuntu 12.04 LTS / 14.04 / 15.04 : firefox vulnerability (USN-2768-1)</t>
    <phoneticPr fontId="3" type="noConversion"/>
  </si>
  <si>
    <t>Ubuntu 12.04 LTS / 14.04/15.04:firefox脆弱性(usn - 2768 - 1)</t>
    <phoneticPr fontId="3" type="noConversion"/>
  </si>
  <si>
    <t>Abdulrahman Alqabandi 和 Ben Kelly发现fetch()API没有正确地实现交叉起源资源共享(CORS)
规范。如果一个用户在打开一个专门欺骗的网站,攻击者可能会利用这个从其他来源来获得敏感信息。(cve - 2015 - 7184)”</t>
    <phoneticPr fontId="3" type="noConversion"/>
  </si>
  <si>
    <t>Ubuntu 14.04 / 15.04 : oxide-qt vulnerabilities (USN-2770-1)</t>
    <phoneticPr fontId="3" type="noConversion"/>
  </si>
  <si>
    <t>Ubuntu 14.04/15.04:oxide-qt漏洞(usn - 2770 - 1)</t>
    <phoneticPr fontId="3" type="noConversion"/>
  </si>
  <si>
    <t xml:space="preserve">这是发现ContainerNode:parserInsertBeforeBlink
将错误进行DOM树中插入一些环境。如果一个用户在打开一个专门欺骗的网站,攻击者可能会利用这种绕过
同源的限制。(cve - 2015 - 6755)
在铬use-after-free被发现在服务职工的实现
。如果用户被骗在打开一个专门制作的网站,攻击者可能会利用这个导致否认通过应用程序的服务崩溃,或执行任意代码特权用户调用的程序。(cve - 2015 - 6757)
他们发现Blink不确保的起源LocalStorage资源被认为是独一无二的。如果用户被骗在打开一个精雕细琢的网站中,攻击者可能会利用这个来获取敏感信息。
(cve - 2015 - 6759)
在FFmpeg中发现竞争条件和记忆腐败。如果一个用户在打开一个精雕细琢的欺骗网站,一个攻击者可能会利用这个通过渲染器崩溃来引起拒绝服务,或执行任意代码的权限沙箱渲染过程。(cve - 2015 - 6761)
在某些情况下CORS，他们发现CSSFontFaceSrcValue:引进Blink没有使用。如果一个用户在打开一个欺骗
特别制作的网站,攻击者可能会利用这一点绕过同源的限制。(cve - 2015 - 6762)
在铬多个安全问题被发现。如果一个用户在打开一个精雕细琢的欺骗网站,攻击者可以未初始化内存可能利用这些阅读,通过应用程序崩溃导致否认服务或执行任意代码特权用户调用的程序。(cve - 2015 - 6763)
V8中的多个安全问题被发现。如果用户被骗在打开一个精雕细琢的网站中,攻击者未初始化内存可能利用这些阅读,导致否认服务通过渲染器崩溃或执行任意代码
特权的沙箱渲染过程。(cve - 2015 - 7834)”。
</t>
    <phoneticPr fontId="3" type="noConversion"/>
  </si>
  <si>
    <t>Ubuntu 12.04 LTS / 14.04 / 15.04 : miniupnpc vulnerability (USN-2780-1)</t>
    <phoneticPr fontId="3" type="noConversion"/>
  </si>
  <si>
    <t>Ubuntu 12.04 LTS / 14.04/15.04:miniupnpc脆弱性(usn - 2780 - 1)</t>
    <phoneticPr fontId="3" type="noConversion"/>
  </si>
  <si>
    <t>Alexander Nikolic发现功能MiniUPnP图书馆的XML解析器缓冲区溢出漏洞。远程攻击者可以用这个导致拒绝服务(应用程序崩溃)或可能执行任意代码与特权的用户运行一个应用程序使用MiniUPnP图书馆。</t>
    <phoneticPr fontId="3" type="noConversion"/>
  </si>
  <si>
    <t>更新影响libminiupnpc10和/或libminiupnpc8包。</t>
    <phoneticPr fontId="3" type="noConversion"/>
  </si>
  <si>
    <t>Backup Files Disclosure</t>
    <phoneticPr fontId="3" type="noConversion"/>
  </si>
  <si>
    <t>DNS协议是TCP/IP协议组的一部分，允许DNS客户端查询DNS数据库将主机名解析为IP地址。
        出于与处理DNS查询相关的处理时间和带宽考虑，大多数DNS服务器都会本地存储从其他DNS服务器所接收到的响应，存储这些响应的区域被称为缓存。一旦将响应存储到了缓存，DNS服务器就可以在再次查询DNS服务器以刷新本地缓存的响应拷贝之前的一段时间(被称为存活时间)使用本地存储的响应。 
        DNS缓存中毒攻击指的是更改了DNS服务器的DNS缓存中某项，这样缓存中与主机名相关的IP地址就不再指向正确的位置。例如，如果www.example.com映射到IP地址192.168.0.1且DNS服务器的缓存中存在这个映射，则成功向这个服务器的DNS缓存投毒的攻击者就可以将www.example.com映射到10.0.0.1。在这种情况下，试图访问www.example.com的用户就可能与错误的Web服务器联络。
        DNS协议实现规范中包括一个16位的事件ID字段。如果正确地实现了这个规范且通过强随机数生成器随机的选择事件ID的话，攻击者就需要平均32,768次尝试才能成功的预测到这个ID。但由于协议实现中的弱点，用于验证DNS响应的DNS事件ID和源端口号随机性不够强，可以轻易的预测，这就允许攻击者创建匹配期望值的DSN请求伪造响应，而DNS服务器会认为该响应有效，因此简化了缓存中毒攻击。
        成功利用这个漏洞可能导致DNS服务器的用户联络错误的网络服务供应商，最终的影响各不相同，从简单的拒绝服务到网络钓鱼和金融诈骗。</t>
    <phoneticPr fontId="3" type="noConversion"/>
  </si>
  <si>
    <t>Unsupported Microsoft DNS Server Detection</t>
    <phoneticPr fontId="3" type="noConversion"/>
  </si>
  <si>
    <t>IIS和网站服务器codebrws.asp示例文件读取任意文件漏洞</t>
    <phoneticPr fontId="3" type="noConversion"/>
  </si>
  <si>
    <t xml:space="preserve">远程主机正在运行一个不受支持的微软DNS版本
</t>
    <phoneticPr fontId="3" type="noConversion"/>
  </si>
  <si>
    <t>1、升级OpenSSL软件包：
（1）.CentOS、Redhat 可以通过以下命令来升级
#yum clean
#yum update openssl
对应的RPM包：
CentOS 5:
openssl-0.9.8e-39.el5_11、openssl-devel-0.9.8e-39.el5_11、           openssl-perl-0.9.8e-39.el5_11
CentOS 6:openssl-1.0.1e-42.el6_7.4、openssl-devel-1.0.1e-42.el6_7.4、openssl-perl-1.0.1e-42.el6_7.4、   openssl-static-1.0.1e-42.el6_7.4
CentOS 7:openssl-1.0.1e-51.el7_2.4、openssl-devel-1.0.1e-51.el7_2.4、openssl-libs-1.0.1e-51.el7_2.4、openssl-perl-1.0.1e-51.el7_2.4、openssl-static-1.0.1e-51.el7_2.4
(2). ubuntu 版本可以通过以下命令来升级
#apt-get upgrade openssl
2、禁用 Apache、Nginx、Postfix 中的SSLv2
在Apache 的 SSL 配置文件中禁用SSLv2
SSLProtocol all -SSLv2
重启apache服务
在 Nginx 的 SSL 配置文件中设置只允许使用 TLS 协议：
ssl_protocols TLSv1 TLSv1.1 TLSv1.2;
重启nginx服务
在Postfix配置中禁用SSLv2
# Minimal recommended settings.  Whenever the built-in defaults are
# sufficient, let the built-in defaults stand by deleting any explicit
# overrides.  The default mandatory TLS protocols have never included
# SSLv2, check to make sure you have not inadvertently enabled it.
smtpd_tls_protocols = !SSLv2, !SSLv3
smtpd_tls_mandatory_protocols = !SSLv2, !SSLv3
tlsproxy_tls_protocols = $smtpd_tls_protocols
tlsproxy_tls_mandatory_protocols = $smtpd_tls_mandatory_protocols
smtp_tls_protocols = !SSLv2, !SSLv3
smtp_tls_mandatory_protocols = !SSLv2, !SSLv3
lmtp_tls_protocols = !SSLv2, !SSLv3
lmtp_tls_mandatory_protocols = !SSLv2, !SSLv3
smtpd_tls_ciphers = medium
smtp_tls_ciphers = medium
# Other best practices
# Strongly recommended:
# http://www.postfix.org/FORWARD_SECRECY_README.html#server_fs
smtpd_tls_dh1024_param_file=${config_directory}/dh2048.pem
smtpd_tls_eecdh_grade = strong
# Suggested, not strictly needed:
smtpd_tls_exclude_ciphers =
EXPORT, LOW, MD5, SEED, IDEA, RC2
smtp_tls_exclude_ciphers =
EXPORT, LOW, MD5, aDSS, kECDHe, kECDHr, kDHd, kDHr, SEED, IDEA, RC2</t>
    <phoneticPr fontId="3" type="noConversion"/>
  </si>
  <si>
    <t>重新配置代理,拒绝连接请求本身。</t>
    <phoneticPr fontId="3" type="noConversion"/>
  </si>
  <si>
    <t>代理允许用户执行重复的连接请求本身。这允许任何人使代理CPU、内存资源饱和，从而造成拒绝服务攻击</t>
    <phoneticPr fontId="3" type="noConversion"/>
  </si>
  <si>
    <t>Microsoft Windows Guest账户属于一个组</t>
    <phoneticPr fontId="3" type="noConversion"/>
  </si>
  <si>
    <t>使用提供的凭证,是能够确定的Guest以外的用户属于组(去掉546)或Guest、“域Guest”(514)清除掉。Guest 应该没有任何更多的用户特权。</t>
    <phoneticPr fontId="3" type="noConversion"/>
  </si>
  <si>
    <t>编辑本地或域政策限制的组成员关系Guest账户
禁用Guest账户</t>
    <phoneticPr fontId="3" type="noConversion"/>
  </si>
  <si>
    <t>远程web服务器似乎允许任何匿名用户使用它作为一个反向代理。</t>
    <phoneticPr fontId="3" type="noConversion"/>
  </si>
  <si>
    <t>Ubuntu 10.04 LTS / 12.04 LTS / 14.04 / 14.10 : nss update (USN-2504-1)</t>
    <phoneticPr fontId="3" type="noConversion"/>
  </si>
  <si>
    <t>Ubuntu nss漏洞</t>
    <phoneticPr fontId="3" type="noConversion"/>
  </si>
  <si>
    <t>e2fsprogs（又名e2fs programs）是一套用以维护ext2、ext3和ext4文件系统的工具程序集。
e2fsprogs 1.42.11及之前版本的libext2fs库中的openfs.c文件存在基于堆的缓冲区溢出漏洞。本地攻击者可借助文件系统映像中的块组描述符数据利用该漏洞执行任意代码。</t>
    <phoneticPr fontId="3" type="noConversion"/>
  </si>
  <si>
    <t>目前厂商已经发布了升级补丁以修复此安全问题，补丁获取链接： 
https://www.debian.org/security/2015/dsa-3166</t>
    <phoneticPr fontId="3" type="noConversion"/>
  </si>
  <si>
    <t>目前厂商已经发布了升级补丁以修复此安全问题，补丁获取链接： 
http://www.freetype.org/index.html#news</t>
    <phoneticPr fontId="3" type="noConversion"/>
  </si>
  <si>
    <t>厂商补丁：
RhinoSoft
---------
目前厂商已经在最新版本的软件中修复了这个安全问题，请到厂商的主页下载： 
http://www.serv-u.com/</t>
    <phoneticPr fontId="3" type="noConversion"/>
  </si>
  <si>
    <t>厂商补丁：
RhinoSoft
---------
目前厂商已经在5.0及以上版本的软件中修复了这个安全问题，请到厂商的主页下载： 
http://www.serv-u.com/: No such file or directory."， filename);
    变量dst的长度是256字节，如果发送超长的filename，Serv-U将崩溃。
    要成功利用这个漏洞，必须要有一个Serv-U的登陆账号并且要有一个可写的目录。</t>
    <phoneticPr fontId="3" type="noConversion"/>
  </si>
  <si>
    <t>Mozilla Firefox ‘UITour::onPageEvent’函数安全漏洞</t>
    <phoneticPr fontId="3" type="noConversion"/>
  </si>
  <si>
    <t>目前厂商已经发布了升级补丁以修复此安全问题，补丁获取链接： 
        http://www.mozilla.org/security/announce/2015/mfsa2015-26.html</t>
    <phoneticPr fontId="3" type="noConversion"/>
  </si>
  <si>
    <t xml:space="preserve"> 目前厂商已经发布了升级补丁以修复此安全问题，补丁获取链接： 
http://ftp.gnu.org/gnu/glibc/</t>
    <phoneticPr fontId="3" type="noConversion"/>
  </si>
  <si>
    <t>目前厂商已经发布了升级补丁以修复此安全问题，补丁获取链接： 
https://www.cups.org/blog.php</t>
    <phoneticPr fontId="3" type="noConversion"/>
  </si>
  <si>
    <t>目前厂商已经发布了升级补丁以修复此安全问题，补丁获取链接： 
https://warehouse.python.org/project/requests/2.6.0/</t>
    <phoneticPr fontId="3" type="noConversion"/>
  </si>
  <si>
    <t>目前厂商已经发布了升级补丁以修复此安全问题，补丁获取链接： 
http://openprinting.org/download/cups-filters/</t>
    <phoneticPr fontId="3" type="noConversion"/>
  </si>
  <si>
    <t>目前厂商已经发布了升级补丁以修复此安全问题，详情请关注厂商主页： 
http://www.sudo.ws/</t>
    <phoneticPr fontId="3" type="noConversion"/>
  </si>
  <si>
    <t>目前厂商已经发布了升级补丁以修复此安全问题，补丁获取链接： 
https://www.openssl.org/news/secadv_20150319.txt</t>
    <phoneticPr fontId="3" type="noConversion"/>
  </si>
  <si>
    <t>Ubuntu 12.04 LTS / 14.04 / 14.10 : firefox vulnerabilities (USN-2538-1)</t>
    <phoneticPr fontId="3" type="noConversion"/>
  </si>
  <si>
    <t>firefox 安全漏洞</t>
    <phoneticPr fontId="3" type="noConversion"/>
  </si>
  <si>
    <t>目前厂商已经发布了升级补丁以修复此安全问题，详情请关注厂商主页： 
http://www.gnutls.org/</t>
    <phoneticPr fontId="3" type="noConversion"/>
  </si>
  <si>
    <t xml:space="preserve"> 目前厂商已经发布了升级补丁以修复此安全问题，补丁获取链接： 
http://code.google.com/p/libarchive/</t>
    <phoneticPr fontId="3" type="noConversion"/>
  </si>
  <si>
    <t>目前厂商已经发布了升级补丁以修复此安全问题，补丁获取链接： 
        http://www.mozilla.org/security/announce/2015/mfsa2015-44.html</t>
    <phoneticPr fontId="3" type="noConversion"/>
  </si>
  <si>
    <t xml:space="preserve"> 目前厂商已经发布了升级补丁以修复此安全问题，补丁获取链接： 
http://www.debian.org/security/2015/dsa-3217</t>
    <phoneticPr fontId="3" type="noConversion"/>
  </si>
  <si>
    <t xml:space="preserve"> 目前厂商已经发布了升级补丁以修复此安全问题，补丁获取链接： 
https://launchpad.net/apport/trunk/2.17.1</t>
    <phoneticPr fontId="3" type="noConversion"/>
  </si>
  <si>
    <t>Ubuntu 14.04 / 14.10 : apport vulnerability (USN-2569-2)</t>
    <phoneticPr fontId="3" type="noConversion"/>
  </si>
  <si>
    <t>Ubuntu apport 安全漏洞</t>
    <phoneticPr fontId="3" type="noConversion"/>
  </si>
  <si>
    <t>Tavis侦听完发现apport包容易受到一种特权升级攻击。这个更新完全禁用崩溃报告处理容器,直到一个更完整的解决方案是可用的。一个本地的攻击者可以利用这个问题来获得高特权。</t>
    <phoneticPr fontId="3" type="noConversion"/>
  </si>
  <si>
    <t>usb-creator 身份验证检查可绕过。本地攻击者可以利用这个问题来获得提升特权。</t>
    <phoneticPr fontId="3" type="noConversion"/>
  </si>
  <si>
    <t>更新usb-creator-common包。</t>
    <phoneticPr fontId="3" type="noConversion"/>
  </si>
  <si>
    <t>wpa_supplicant是软件开发者Jouni Malinen和其他贡献者共同开发的一套运行在后台的守护程序，它主要用来支持WEP、WPA/WPA2和WAPI无线协议和加密认证。
wpa_supplicant 1.0版本至2.4版本中存在基于堆的缓冲区溢出漏洞。当程序创建或升级P2P条目时，远程攻击者可借助管理帧中特制的SSID信息利用该漏洞造成拒绝服务（崩溃），读取内存，或执行任意代码。</t>
    <phoneticPr fontId="3" type="noConversion"/>
  </si>
  <si>
    <t>目前厂商已经发布了升级补丁以修复此安全问题，补丁获取链接： 
http://www.debian.org/security/2015/dsa-3233</t>
    <phoneticPr fontId="3" type="noConversion"/>
  </si>
  <si>
    <t>目前厂商已经发布了升级补丁以修复此安全问题，补丁获取链接： 
        http://googlechromereleases.blogspot.com/2015/04/stable-channel-update_14.html</t>
    <phoneticPr fontId="3" type="noConversion"/>
  </si>
  <si>
    <t>目前厂商已经发布了升级补丁以修复此安全问题，补丁获取链接： 
https://zh-cn.libreoffice.org/download/libreoffice-fresh/</t>
    <phoneticPr fontId="3" type="noConversion"/>
  </si>
  <si>
    <t>目前厂商已经发布了升级补丁以修复此安全问题，补丁获取链接： 
http://www.ca.tcpdump.org/beta/tcpdump-4.7.2.tar.gz</t>
    <phoneticPr fontId="3" type="noConversion"/>
  </si>
  <si>
    <t>目前厂商已经发布了升级补丁以修复此安全问题，补丁获取链接： 
http://www.ubuntu.com/usn/USN-2581-1/</t>
    <phoneticPr fontId="3" type="noConversion"/>
  </si>
  <si>
    <t>Ubuntu network-manager是其中的一个网络资源配置软件包。
Ubuntu的network-manager包中存在目录遍历漏洞。本地攻击者可借助请求（读取调制解调器设备内容）中的文件名中的目录遍历字符‘..’利用该漏洞更改调制解调器设备配置，或读取任意文件。以下版本受到影响：Ubuntu(vivid)的network-manager 0.9.8.8-0ubuntu7.1之前版本，Ubuntu 14.10版本的network-manager 0.9.8.8-0ubuntu28.1之前版本，Ubuntu 14.04 LTS版本的network-manager 0.9.8.8-0ubuntu7.1之前版本。</t>
    <phoneticPr fontId="3" type="noConversion"/>
  </si>
  <si>
    <t>目前厂商已经发布了升级补丁以修复此安全问题，补丁获取链接： 
http://curl.haxx.se/docs/adv_20150422B.html</t>
    <phoneticPr fontId="3" type="noConversion"/>
  </si>
  <si>
    <t xml:space="preserve"> 目前厂商暂未发布修复措施解决此安全问题，建议使用此软件的用户随时关注厂商主页或参考网址以获取解决办法： 
http://www.icu-project.org/</t>
    <phoneticPr fontId="3" type="noConversion"/>
  </si>
  <si>
    <t>目前厂商已经发布了升级补丁以修复此安全问题，详情请关注厂商主页： 
https://wiki.ubuntu.com/Apport</t>
    <phoneticPr fontId="3" type="noConversion"/>
  </si>
  <si>
    <t>更新影响libssl 包。</t>
    <phoneticPr fontId="3" type="noConversion"/>
  </si>
  <si>
    <t xml:space="preserve"> 目前厂商已经发布了升级补丁以修复此安全问题，补丁获取链接： 
http://www.cups.org/blog.php?L1082</t>
    <phoneticPr fontId="3" type="noConversion"/>
  </si>
  <si>
    <t>目前厂商已经发布了升级补丁以修复此安全问题，补丁获取链接： 
https://www.openssl.org/news/secadv_20150611.txt</t>
    <phoneticPr fontId="3" type="noConversion"/>
  </si>
  <si>
    <t>目前厂商已经发布了升级补丁以修复此安全问题，补丁获取链接： 
http://www.python.org/</t>
    <phoneticPr fontId="3" type="noConversion"/>
  </si>
  <si>
    <t>目前厂商暂未发布修复措施解决此安全问题，建议使用此软件的用户随时关注厂商主页或参考网址以获取解决办法： 
http://wvware.sourceforge.net/libwmf.html</t>
    <phoneticPr fontId="3" type="noConversion"/>
  </si>
  <si>
    <t>Ubuntu 14.04 / 14.10 / 15.04 : firefox vulnerabilities (USN-2656-1) (Logjam)</t>
    <phoneticPr fontId="3" type="noConversion"/>
  </si>
  <si>
    <t>firefox  安全漏洞</t>
    <phoneticPr fontId="3" type="noConversion"/>
  </si>
  <si>
    <t>Ubuntu 12.04 LTS / 14.04 / 14.10 / 15.04 : thunderbird vulnerabilities (USN-2673-1) (Logjam)</t>
    <phoneticPr fontId="3" type="noConversion"/>
  </si>
  <si>
    <t>目前厂商暂未发布修复措施解决此安全问题，建议使用此软件的用户随时关注厂商主页或参考网址以获取解决办法： 
http://www.pcre.org/</t>
    <phoneticPr fontId="3" type="noConversion"/>
  </si>
  <si>
    <t>目前厂商已经发布了升级补丁以修复此安全问题，补丁获取链接： 
http://bugs.ghostscript.com/show_bug.cgi?id=696041</t>
    <phoneticPr fontId="3" type="noConversion"/>
  </si>
  <si>
    <t>目前厂商已经发布了升级补丁以修复此安全问题，补丁获取链接： 
http://net-snmp.sourceforge.net/download.html</t>
    <phoneticPr fontId="3" type="noConversion"/>
  </si>
  <si>
    <t>Ubuntu 12.04 LTS / 14.04/15.04:apport 漏洞(usn - 2744 - 1)</t>
    <phoneticPr fontId="3" type="noConversion"/>
  </si>
  <si>
    <t>Halfdog发现apport 不正确处理内核崩溃转储文件。一个本地攻击者可以利用这个问题引起的否定服务,或提升特权。默认的符号链接应该降低脆弱性的影响拒绝服务保护版本</t>
    <phoneticPr fontId="3" type="noConversion"/>
  </si>
  <si>
    <t>更新影响apport 包。</t>
    <phoneticPr fontId="3" type="noConversion"/>
  </si>
  <si>
    <t>更新受影响的firefox包。</t>
    <phoneticPr fontId="3" type="noConversion"/>
  </si>
  <si>
    <t>备份文件的泄露</t>
    <phoneticPr fontId="3" type="noConversion"/>
  </si>
  <si>
    <t>通过附加各种后缀(即:.old, .bak, ~等等…)的名字
远程主机上的各种文件,可以检索他们的内容,这可能导致泄露敏感信息。</t>
    <phoneticPr fontId="3" type="noConversion"/>
  </si>
  <si>
    <t>确保文件不包含任何敏感信息,例如凭证来连接到数据库,删除或保护
不应该访问的文件。
设置备份文件的访问权限</t>
    <phoneticPr fontId="3" type="noConversion"/>
  </si>
  <si>
    <t>MS08-037: Vulnerabilities in DNS Could Allow Spoofing (951746) (uncredentialed check)</t>
    <phoneticPr fontId="3" type="noConversion"/>
  </si>
  <si>
    <t>多家厂商DNS实现缓存中毒漏洞</t>
    <phoneticPr fontId="3" type="noConversion"/>
  </si>
  <si>
    <t>DNS服务版本微软已不支持</t>
    <phoneticPr fontId="3" type="noConversion"/>
  </si>
  <si>
    <t>DNS服务版本微软已不支持，缺乏供应商支持意味着没有新的产品安全补丁将发布。因此,它可能包含安全漏洞。</t>
    <phoneticPr fontId="3" type="noConversion"/>
  </si>
  <si>
    <t>更新升级DNS服务</t>
    <phoneticPr fontId="3" type="noConversion"/>
  </si>
  <si>
    <t>Microsoft IIS / Site Server codebrws.asp Arbitrary Source Disclosure</t>
    <phoneticPr fontId="3" type="noConversion"/>
  </si>
  <si>
    <t>IIS和Site Server的codebrws.asp示例文件中存在漏洞。远程攻击者利用该漏洞读取任意文件。</t>
    <phoneticPr fontId="3" type="noConversion"/>
  </si>
  <si>
    <t>删除codebrws.asp示例文件</t>
    <phoneticPr fontId="3" type="noConversion"/>
  </si>
  <si>
    <t>X Display Manager Control Protocol (XDMCP) Detection</t>
    <phoneticPr fontId="3" type="noConversion"/>
  </si>
  <si>
    <t>远程服务器使用X Display Manager Control Protocol (XDMCP)</t>
    <phoneticPr fontId="3" type="noConversion"/>
  </si>
  <si>
    <t>IBM WebSphere Application Server 7.0 &lt; Fix Pack 15 Multiple Vulnerabilities</t>
    <phoneticPr fontId="3" type="noConversion"/>
  </si>
  <si>
    <t>IBM WebSphere Application Server 7.0 &lt; Fix Pack 17 Multiple Vulnerabilities</t>
  </si>
  <si>
    <t>IBM WebSphere Application Server 7.0 &lt; Fix Pack 17 存在多个漏洞</t>
    <phoneticPr fontId="3" type="noConversion"/>
  </si>
  <si>
    <t>IBM WebSphere Application Server 7.0 &lt; Fix Pack 19 Multiple Vulnerabilities</t>
  </si>
  <si>
    <t>IBM WebSphere Application Server 7.0 &lt; Fix Pack 19 存在多个漏洞</t>
    <phoneticPr fontId="3" type="noConversion"/>
  </si>
  <si>
    <t>IBM WebSphere Application Server 7.0 &lt; Fix Pack 21 Multiple Vulnerabilities</t>
  </si>
  <si>
    <t>IBM WebSphere Application Server 7.0 &lt; Fix Pack 21 存在多个漏洞</t>
    <phoneticPr fontId="3" type="noConversion"/>
  </si>
  <si>
    <t>IBM WebSphere Application Server 7.0 &lt; Fix Pack 23 Multiple Vulnerabilities</t>
  </si>
  <si>
    <t>IBM WebSphere Application Server 7.0 &lt; Fix Pack 23 存在多个漏洞</t>
    <phoneticPr fontId="3" type="noConversion"/>
  </si>
  <si>
    <t>IBM WebSphere Application Server 7.0 &lt; Fix Pack 25 Multiple Vulnerabilities</t>
  </si>
  <si>
    <t>IBM WebSphere Application Server 7.0 &lt; Fix Pack 20 存在多个漏洞</t>
  </si>
  <si>
    <t>Browsable Web Directories</t>
    <phoneticPr fontId="3" type="noConversion"/>
  </si>
  <si>
    <t>Apache Server ETag Header Information Disclosure</t>
    <phoneticPr fontId="3" type="noConversion"/>
  </si>
  <si>
    <t>IBM DB2 9.1 &lt; Fix Pack 8 Multiple Vulnerabilities</t>
    <phoneticPr fontId="3" type="noConversion"/>
  </si>
  <si>
    <t>IBM DB2 9.1 &lt; Fix Pack 9 Multiple Vulnerabilities</t>
  </si>
  <si>
    <t>IBM DB2 9.1 &lt; Fix Pack 9 存在多个漏洞</t>
  </si>
  <si>
    <t>IBM DB2 9.1 &lt; Fix Pack 10 Multiple Vulnerabilities</t>
  </si>
  <si>
    <t>IBM DB2 9.1 &lt; Fix Pack 10 存在多个漏洞</t>
  </si>
  <si>
    <t>IBM DB2 9.1 &lt; Fix Pack 11 Multiple DoS</t>
  </si>
  <si>
    <t>IBM DB2 9.1 &lt; Fix Pack 11 存在多个漏洞</t>
  </si>
  <si>
    <t>IBM DB2 9.1 &lt; Fix Pack 12 Multiple Vulnerabilities</t>
  </si>
  <si>
    <t>IBM DB2 9.1 &lt; Fix Pack 12 存在多个漏洞</t>
  </si>
  <si>
    <t>IBM WebSphere Application Server 7.0 &lt; Fix Pack 15 存在多个漏洞</t>
    <phoneticPr fontId="3" type="noConversion"/>
  </si>
  <si>
    <t>IBM WebSphere Application Server 7.0 缺少补丁包Fix Pack 15，从而导致存在多个漏洞。</t>
    <phoneticPr fontId="3" type="noConversion"/>
  </si>
  <si>
    <t>IBM WebSphere Application Server 7.0 缺少补丁包Fix Pack 17，从而导致存在多个漏洞。</t>
  </si>
  <si>
    <t>IBM WebSphere Application Server 7.0 缺少补丁包Fix Pack 19，从而导致存在多个漏洞。</t>
  </si>
  <si>
    <t>IBM WebSphere Application Server 7.0 缺少补丁包Fix Pack 20，从而导致存在多个漏洞。</t>
  </si>
  <si>
    <t>IBM WebSphere Application Server 7.0 缺少补丁包Fix Pack 21，从而导致存在多个漏洞。</t>
    <phoneticPr fontId="3" type="noConversion"/>
  </si>
  <si>
    <t>IBM WebSphere Application Server 7.0 缺少补丁包Fix Pack 23，从而导致存在多个漏洞。</t>
    <phoneticPr fontId="3" type="noConversion"/>
  </si>
  <si>
    <t>WebSphere Application Server 7.0.0补丁下载地址如下：
https://www-947.ibm.com/support/entry/portal/product/websphere/websphere_application_server?productContext=-1917189887</t>
    <phoneticPr fontId="3" type="noConversion"/>
  </si>
  <si>
    <t>XDMCP是远程桌面管理协议，它不是加密的协议，存在中间人攻击漏洞，攻击者可通过监听网络的方式，窃取合法用户的凭据，以及获取用户的键盘输入。</t>
    <phoneticPr fontId="3" type="noConversion"/>
  </si>
  <si>
    <t>如果 XDMCP 服务不需要使用，请禁用。
如果需要使用，建议通过主机防火墙限制允许该服务的IP</t>
    <phoneticPr fontId="3" type="noConversion"/>
  </si>
  <si>
    <t>目录列表功能未禁用</t>
    <phoneticPr fontId="3" type="noConversion"/>
  </si>
  <si>
    <t>当用户访问的网址是某个目录地址的时候，服务器自动显示该目录所包含的文件列表内容。通过浏览服务器地址，可以查看到此目录下的所有文件的名称，一些敏感的文件可能被获取（例如存放数据库连接账户的配置文件等）。</t>
    <phoneticPr fontId="3" type="noConversion"/>
  </si>
  <si>
    <t>[1]如果该功能非必须，请禁用
[2]如果该功能为正常业务需要，请限制普通用户访问的范围仅为正常业务范围</t>
    <phoneticPr fontId="3" type="noConversion"/>
  </si>
  <si>
    <t>Apache Server ETag Header信息泄露</t>
    <phoneticPr fontId="3" type="noConversion"/>
  </si>
  <si>
    <t>Etag是URL的Entity Tag，用于标示URL对象是否改变，区分不同语言和Session等等。Apache Server 已启用ETag Header ，返回的信息可能会被攻击者利用，例如请求文件的索引节点数。</t>
    <phoneticPr fontId="3" type="noConversion"/>
  </si>
  <si>
    <t>如果不需要使用Etag，可通过以下方式关闭：
在.htaccess 里面将以下内容删除：
FileETag MTime Size</t>
    <phoneticPr fontId="3" type="noConversion"/>
  </si>
  <si>
    <t>IBM DB2 9.1 &lt; Fix Pack 8 存在多个漏洞</t>
    <phoneticPr fontId="3" type="noConversion"/>
  </si>
  <si>
    <t>IBM DB2 9.1 缺少补丁包 Fix Pack 8 ，从而导致存在多个漏洞。</t>
    <phoneticPr fontId="3" type="noConversion"/>
  </si>
  <si>
    <t>IBM DB2 9.1 缺少补丁包 Fix Pack 9 ，从而导致存在多个漏洞。</t>
  </si>
  <si>
    <t>IBM DB2 9.1 缺少补丁包 Fix Pack 10 ，从而导致存在多个漏洞。</t>
  </si>
  <si>
    <t>IBM DB2 9.1 缺少补丁包 Fix Pack 12 ，从而导致存在多个漏洞。</t>
  </si>
  <si>
    <t>IBM DB2 9.1 缺少补丁包 Fix Pack 11 ，从而导致存在多个漏洞。</t>
    <phoneticPr fontId="3" type="noConversion"/>
  </si>
  <si>
    <t>官方补丁下载地址：
http://www-933.ibm.com/support/fixcentral/swg/selectFixes?parent=ibm~Information%2BManagement&amp;product=ibm/Information+Management/DB2&amp;release=9.1.*&amp;platform=All&amp;function=recommended</t>
    <phoneticPr fontId="3" type="noConversion"/>
  </si>
  <si>
    <t>MS05-019: Vulnerabilities in TCP/IP Could Allow Remote Code Execution (893066) (uncredentialed check)</t>
    <phoneticPr fontId="3" type="noConversion"/>
  </si>
  <si>
    <t>高</t>
    <phoneticPr fontId="3" type="noConversion"/>
  </si>
  <si>
    <t>MS05-019:TCP/IP中的漏洞可能允许远程执行代码和拒绝服务攻击 (893066)</t>
    <phoneticPr fontId="3" type="noConversion"/>
  </si>
  <si>
    <t>主机运行的windows版本中的TCP/IP堆栈存在一个漏洞，该漏洞可能允许攻击者远程执行代码和拒绝服务攻击。</t>
    <phoneticPr fontId="3" type="noConversion"/>
  </si>
  <si>
    <t>Microsoft为影响系统的提供了补丁</t>
    <phoneticPr fontId="3" type="noConversion"/>
  </si>
  <si>
    <t>Apache Traffic Server 4.x &lt; 4.2.1.1 / 5.x &lt; 5.0.1 Synthetic Health Check Vulnerability</t>
    <phoneticPr fontId="3" type="noConversion"/>
  </si>
  <si>
    <t>Apache Traffic Server 安全漏洞</t>
    <phoneticPr fontId="3" type="noConversion"/>
  </si>
  <si>
    <t>Apache Traffic Server是美国阿帕奇（Apache）软件基金会的一款高效、可扩展的HTTP代理和缓存服务器。 
Apache Traffic Server 4.2.1.1版本和5.0.1之前5.x版本中存在安全漏洞。</t>
    <phoneticPr fontId="3" type="noConversion"/>
  </si>
  <si>
    <t xml:space="preserve">  目前厂商已经发布了升级补丁以修复此安全问题，补丁获取链接： 
        http://mail-archives.apache.org/mod_mbox/trafficserver-users/201407.mbox/%3CBFCEC9C8-1BE9-4DCA-AF9C-B8FE798EEC07@yahoo-inc.com%3E </t>
    <phoneticPr fontId="3" type="noConversion"/>
  </si>
  <si>
    <t>PHP是广泛使用的通用目的脚本语言，特别适合于Web开发，可嵌入到HTML中。 
PHP &lt; 5.4.45, 5.5.x &lt; 5.5.29, 5.6.x &lt; 5.6.12版本存在多个释放后重利用漏洞，远程攻击者通过Serializable接口、SplObjectStorage类、SplDoublyLinkedList类，可造成任意代码执行。</t>
    <phoneticPr fontId="3" type="noConversion"/>
  </si>
  <si>
    <t>PHP 5.5.x &lt; 5.5.29 Multiple Vulnerabilities</t>
    <phoneticPr fontId="3" type="noConversion"/>
  </si>
  <si>
    <t>PHP gdImageRotateInterpolated拒绝服务漏洞</t>
    <phoneticPr fontId="3" type="noConversion"/>
  </si>
  <si>
    <t>PHP prior to 5.5.x &lt; 5.5.31 / 5.6.x &lt; 5.6.17 Multiple Vulnerabilities</t>
    <phoneticPr fontId="3" type="noConversion"/>
  </si>
  <si>
    <t>PHP是广泛使用的通用目的脚本语言，特别适合于Web开发，可嵌入到HTML中。 
PHP 5.5.31之前版本、5.6.17之前的5.6.x版本、7.0.2之前的7.x版本，ext/gd/libgd/gd_interpolation.c内的函数gdImageRotateInterpolated存在安全漏洞。通过向imagerotate函数传递较大的bgd_color参数，远程攻击者利用此漏洞可获取敏感信息或造成拒绝服务。</t>
    <phoneticPr fontId="3" type="noConversion"/>
  </si>
  <si>
    <t>厂商补丁：
PHP
 ---
 目前厂商已经发布了升级补丁以修复这个安全问题，请到厂商的主页下载：
https://bugs.php.net/bug.php?id=71270
 http://www.php.net/ChangeLog-5.php
 http://www.php.net/ChangeLog-7.php</t>
    <phoneticPr fontId="3" type="noConversion"/>
  </si>
  <si>
    <t>厂商补丁：
PHP版本较低，建议升级到最新版本
 ---
 目前厂商已经发布了升级补丁以修复这个安全问题，请到厂商的主页下载：
http://php.net/ChangeLog-5.php
 http://php.net/ChangeLog-7.php</t>
    <phoneticPr fontId="3" type="noConversion"/>
  </si>
  <si>
    <t>PHP 5.5.x &lt; 5.5.26 Multiple Vulnerabilities</t>
    <phoneticPr fontId="3" type="noConversion"/>
  </si>
  <si>
    <t>PHP 释放后重利用漏洞</t>
    <phoneticPr fontId="3" type="noConversion"/>
  </si>
  <si>
    <t>PHP版本漏洞</t>
    <phoneticPr fontId="3" type="noConversion"/>
  </si>
  <si>
    <t>PHP是广泛使用的通用目的脚本语言，特别适合于Web开发，可嵌入到HTML中。 
PHP 5.5.x &lt; 5.5.26版本存在多个释放后重利用漏洞，远程攻击者通过Serializable接口、SplObjectStorage类、SplDoublyLinkedList类，可造成任意代码执行。</t>
    <phoneticPr fontId="3" type="noConversion"/>
  </si>
  <si>
    <t>PHP 5.5.x &lt; 5.5.27 Multiple Vulnerabilities</t>
    <phoneticPr fontId="3" type="noConversion"/>
  </si>
  <si>
    <t>PHP是广泛使用的通用目的脚本语言，特别适合于Web开发，可嵌入到HTML中。 
影响版本PHP 5.5.x &lt; 5.5.27。</t>
    <phoneticPr fontId="3" type="noConversion"/>
  </si>
  <si>
    <t>PHP 5.5.x &lt; 5.5.28 Multiple Vulnerabilities</t>
    <phoneticPr fontId="3" type="noConversion"/>
  </si>
  <si>
    <t>PHP是广泛使用的通用目的脚本语言，特别适合于Web开发，可嵌入到HTML中。 
影响版本PHP 5.5.x &lt; 5.5.28。</t>
    <phoneticPr fontId="3" type="noConversion"/>
  </si>
  <si>
    <t>PHP 5.5.x &lt; 5.5.30 Multiple Vulnerabilities</t>
    <phoneticPr fontId="3" type="noConversion"/>
  </si>
  <si>
    <t>PHP是广泛使用的通用目的脚本语言，特别适合于Web开发，可嵌入到HTML中。 
影响版本PHP 5.5.x &lt; 5.5.30。</t>
    <phoneticPr fontId="3" type="noConversion"/>
  </si>
  <si>
    <t>PHP 5.5.x &lt; 5.5.32 Multiple Vulnerabilities</t>
    <phoneticPr fontId="3" type="noConversion"/>
  </si>
  <si>
    <t>PHP是广泛使用的通用目的脚本语言，特别适合于Web开发，可嵌入到HTML中。 
影响版本PHP 5.5.x &lt; 5.5.32。</t>
    <phoneticPr fontId="3" type="noConversion"/>
  </si>
  <si>
    <t>PHP 5.5.x &lt; 5.5.33 Multiple Vulnerabilities</t>
    <phoneticPr fontId="3" type="noConversion"/>
  </si>
  <si>
    <t>PHP是广泛使用的通用目的脚本语言，特别适合于Web开发，可嵌入到HTML中。 
影响版本PHP 5.5.x &lt; 5.5.33。</t>
    <phoneticPr fontId="3" type="noConversion"/>
  </si>
  <si>
    <t>PHP 5.5.x &lt; 5.5.34 Multiple Vulnerabilities</t>
    <phoneticPr fontId="3" type="noConversion"/>
  </si>
  <si>
    <t>PHP是广泛使用的通用目的脚本语言，特别适合于Web开发，可嵌入到HTML中。 
影响版本PHP 5.5.x &lt; 5.5.34。</t>
    <phoneticPr fontId="3" type="noConversion"/>
  </si>
  <si>
    <t>PHP 5.5.x &lt; 5.5.35 Multiple Vulnerabilities</t>
    <phoneticPr fontId="3" type="noConversion"/>
  </si>
  <si>
    <t>PHP是广泛使用的通用目的脚本语言，特别适合于Web开发，可嵌入到HTML中。 
影响版本PHP 5.5.x &lt; 5.5.35。</t>
    <phoneticPr fontId="3" type="noConversion"/>
  </si>
  <si>
    <t>OpenSSL是一种开放源码的SSL实现，用来实现网络通信的高强度加密，现在被广泛地用于各种网络应用程序中。
OpenSSL 1.0.0d及更早版本的ECC子系统中，当ECDSA用于ECDHE_ECDSA密码组时，没有正确实现curves over binary字段，可使攻击者通过定时攻击和栅格计算确定密钥。</t>
    <phoneticPr fontId="3" type="noConversion"/>
  </si>
  <si>
    <t xml:space="preserve">OpenSSL ECDSA定时攻击本地信息泄露漏洞
</t>
    <phoneticPr fontId="3" type="noConversion"/>
  </si>
  <si>
    <t>厂商补丁：
OpenSSL Project，版本较低，建议升级到最新版本
 ---------------
 目前厂商已经发布了升级补丁以修复这个安全问题，请到厂商的主页下载：
http://www.openssl.org/</t>
    <phoneticPr fontId="3" type="noConversion"/>
  </si>
  <si>
    <t>OpenSSL 1.x &lt; 1.0.0f Multiple Vulnerabilities</t>
    <phoneticPr fontId="3" type="noConversion"/>
  </si>
  <si>
    <t>OpenSSL 1.x &lt; 1.0.0e Multiple Vulnerabilities</t>
    <phoneticPr fontId="3" type="noConversion"/>
  </si>
  <si>
    <t xml:space="preserve"> OpenSSL是一种开放源码的SSL实现，用来实现网络通信的高强度加密，现在被广泛地用于各种网络应用程序中。 
        OpenSSL 0.9.8s之前版本以及1.0.0f之前的1.x版本中存在漏洞，该漏洞源于DTLS实现仅在某些填充有效的时候执行MAC检查。远程攻击者可以借助填充oracle攻击重现明文。 </t>
    <phoneticPr fontId="3" type="noConversion"/>
  </si>
  <si>
    <t>OpenSSL加密问题漏洞</t>
    <phoneticPr fontId="3" type="noConversion"/>
  </si>
  <si>
    <t xml:space="preserve">目前厂商已经发布了升级补丁以修复此安全问题，补丁获取链接： 
        http://www.openssl.org/source/ </t>
    <phoneticPr fontId="3" type="noConversion"/>
  </si>
  <si>
    <t>OpenSSL ‘mime_hdr_cmp’函数拒绝服务漏洞</t>
    <phoneticPr fontId="3" type="noConversion"/>
  </si>
  <si>
    <t>OpenSSL是一种开放源码的SSL实现，用来实现网络通信的高强度加密，现在被广泛地用于各种网络应用程序中。 
        OpenSSL 0.9.8t及之前版本中的crypto/asn1/asn_mime.c的mime_hdr_cmp函数中存在漏洞。远程攻击者可利用该漏洞借助特制的S/MIME信息，导致拒绝服务（空指针解引用和应用程序崩溃）。</t>
    <phoneticPr fontId="3" type="noConversion"/>
  </si>
  <si>
    <t xml:space="preserve">目前厂商已经发布了升级补丁以修复此安全问题，补丁获取链接： 
        http://www.openssl.org/ </t>
    <phoneticPr fontId="3" type="noConversion"/>
  </si>
  <si>
    <t>OpenSSL 1.0.0 &lt; 1.0.0h Multiple Vulnerabilities</t>
    <phoneticPr fontId="3" type="noConversion"/>
  </si>
  <si>
    <t>OpenSSL缓冲区溢出漏洞</t>
    <phoneticPr fontId="3" type="noConversion"/>
  </si>
  <si>
    <t>OpenSSL 1.0.0 &lt; 1.0.0i ASN.1 asn1_d2i_read_bio Memory Corruption</t>
    <phoneticPr fontId="3" type="noConversion"/>
  </si>
  <si>
    <t xml:space="preserve">  OpenSSL是一种开放源码的SSL实现，用来实现网络通信的高强度加密，现在被广泛地用于各种网络应用程序中。 
    OpenSSL 0.9.8v之前版本，1.0.0i之前的1.0.0版本和1.0.1a之前的1.0.1版本中的asn1_d2i_read_bio函数中存在漏洞，该漏洞源于未正确解释整数数据。远程攻击者可利用该漏洞借助特制DER数据导致缓冲区溢出攻击，拒绝服务（内存破坏）或造成其他未明影响。此漏洞已被X.509证书或RSA公钥证实。</t>
    <phoneticPr fontId="3" type="noConversion"/>
  </si>
  <si>
    <t>OpenSSL整数下溢漏洞</t>
    <phoneticPr fontId="3" type="noConversion"/>
  </si>
  <si>
    <t>OpenSSL 1.0.0 &lt; 1.0.0j DTLS CBC Denial of Service</t>
    <phoneticPr fontId="3" type="noConversion"/>
  </si>
  <si>
    <t xml:space="preserve"> OpenSSL是一种开放源码的SSL实现，用来实现网络通信的高强度加密，现在被广泛地用于各种网络应用程序中。 
        OpenSSL 0.9.8x之前版本，1.0.0j之前的1.0.0版本以及1.0.1c之前的1.0.1版本中存在整数下溢漏洞，该漏洞源于TLS 1.1版本、TLS 1.2版本或者DTLS用于CBC加密。远程攻击者可利用该漏洞借助在某些明确IV计算过程中未正确处理的特制TLS数据包导致拒绝服务（缓冲区越界读取），或者产生其他未明影响。</t>
    <phoneticPr fontId="3" type="noConversion"/>
  </si>
  <si>
    <t>OpenSSL 加密问题漏洞</t>
    <phoneticPr fontId="3" type="noConversion"/>
  </si>
  <si>
    <t>OpenSSL 1.0.0 &lt; 1.0.0k Multiple Vulnerabilities</t>
    <phoneticPr fontId="3" type="noConversion"/>
  </si>
  <si>
    <t xml:space="preserve"> OpenSSL是一种开放源码的SSL实现，用来实现网络通信的高强度加密，现在被广泛地用于各种网络应用程序中。 
        OpenSSL 0.9.8y之前版本，1.0.0k之前的1.0.0版本，以及1.0.1d之前的1.0.1版本中存在漏洞，该漏洞源于程序没有正确地对OCSP响应执行签名校验。远程攻击者可通过无效的密钥利用该漏洞导致拒绝服务（空指针引用以及应用崩溃）。</t>
    <phoneticPr fontId="3" type="noConversion"/>
  </si>
  <si>
    <t xml:space="preserve">目前厂商已经发布了升级补丁以修复此安全问题，补丁获取链接： 
        http://www.openssl.org/news/secadv_20130204.txt </t>
    <phoneticPr fontId="3" type="noConversion"/>
  </si>
  <si>
    <t>OpenSSL 安全漏洞</t>
    <phoneticPr fontId="3" type="noConversion"/>
  </si>
  <si>
    <t>OpenSSL是OpenSSL团队开发的一个开源的能够实现安全套接层（SSL v2/v3）和安全传输层（TLS v1）协议的通用加密库，它支持多种加密算法，包括对称密码、哈希算法、安全散列算法等。
         OpenSSL 0.9.8y及之前的版本和1.x至1.0.1e版本中的DTLS重新传输过程中存在安全漏洞，该漏洞源于程序没有正确维护数据结构。攻击者可利用该漏洞实施中间人攻击，触发使用不同的数据。</t>
    <phoneticPr fontId="3" type="noConversion"/>
  </si>
  <si>
    <t xml:space="preserve">  目前厂商已经发布了升级补丁以修复此安全问题，补丁获取链接： 
        http://git.openssl.org/gitweb/?p=openssl.git;a=commit;h=34628967f1e65dc8f34e000f0f5518e21afbfc7b </t>
    <phoneticPr fontId="3" type="noConversion"/>
  </si>
  <si>
    <t>OpenSSL 1.0.0 &lt; 1.0.0l DTLS Security Bypass</t>
    <phoneticPr fontId="3" type="noConversion"/>
  </si>
  <si>
    <t>OpenSSL 竞争条件漏洞</t>
    <phoneticPr fontId="3" type="noConversion"/>
  </si>
  <si>
    <t>OpenSSL是OpenSSL团队开发的一个开源的能够实现安全套接层（SSL v2/v3）和安全传输层（TLS v1）协议的通用加密库，它支持多种加密算法，包括对称密码、哈希算法、安全散列算法等。
OpenSSL 1.0.1g及之前版本的s3_pkt.c文件中的‘ssl3_read_bytes’函数存在竞争条件漏洞。当使用SSL_MODE_RELEASE_BUFFERS时，远程攻击者可通过在多线程环境下建立SSL连接利用该漏洞造成拒绝服务（释放后重用和解析错误）。</t>
    <phoneticPr fontId="3" type="noConversion"/>
  </si>
  <si>
    <t xml:space="preserve">目前厂商已经发布了升级补丁以修复此安全问题，补丁获取链接： 
        https://rt.openssl.org/Ticket/Display.html?id=3265&amp;user=guest&amp;pass=guest </t>
    <phoneticPr fontId="3" type="noConversion"/>
  </si>
  <si>
    <t>OpenSSL 1.0.0 &lt; 1.0.0m Multiple Vulnerabilities</t>
    <phoneticPr fontId="3" type="noConversion"/>
  </si>
  <si>
    <t>OpenSSL DTLS 双重释放漏洞</t>
    <phoneticPr fontId="3" type="noConversion"/>
  </si>
  <si>
    <t>OpenSSL是OpenSSL团队开发的一个开源的能够实现安全套接层（SSL v2/v3）和安全传输层（TLS v1）协议的通用加密库，它支持多种加密算法，包括对称密码、哈希算法、安全散列算法等。
OpenSSL的DTLS实现过程中d1_both.c文件存在双重释放漏洞。远程攻击者可通过发送特制DTLS数据包利用该漏洞造成拒绝服务（应用程序崩溃）。以下版本受到影响：OpenSSL 0.9.8zb之前0.9.8版本，1.0.0n之前1.0.0版本，1.0.1i之前1.0.1版本。</t>
    <phoneticPr fontId="3" type="noConversion"/>
  </si>
  <si>
    <t>OpenSSL 1.0.0 &lt; 1.0.0n Multiple Vulnerabilities</t>
    <phoneticPr fontId="3" type="noConversion"/>
  </si>
  <si>
    <t>OpenSSL 1.0.0 &lt; 1.0.1o Multiple Vulnerabilities (POODLE)</t>
    <phoneticPr fontId="3" type="noConversion"/>
  </si>
  <si>
    <t>SSL3.0 加密协议信息泄露漏洞</t>
    <phoneticPr fontId="3" type="noConversion"/>
  </si>
  <si>
    <t>SSL protocol是美国网景（Netscape）公司研发的安全套接层协议（Secure Socket Layer）的缩写，为互联网通信提供安全及数据完整性保障。
OpenSSL 1.0.1i及之前版本中使用的SSL protocol 3.0版本中存在安全漏洞，该漏洞源于程序使用非确定性的CBC填充。攻击者可借助padding-oracle攻击利用该漏洞实施中间人攻击，获取明文数据。</t>
    <phoneticPr fontId="3" type="noConversion"/>
  </si>
  <si>
    <t xml:space="preserve">目前厂商已经发布了升级补丁以修复此安全问题，补丁获取链接： 
https://www.openssl.org/news/ </t>
    <phoneticPr fontId="3" type="noConversion"/>
  </si>
  <si>
    <t xml:space="preserve">目前厂商已经发布了升级补丁以修复此安全问题，补丁获取链接： 
https://www.openssl.org/news/secadv_20140806.txt </t>
    <phoneticPr fontId="3" type="noConversion"/>
  </si>
  <si>
    <t>OpenSSL‘ssl23_get_client_hello()’函数拒绝服务漏洞</t>
    <phoneticPr fontId="3" type="noConversion"/>
  </si>
  <si>
    <t>OpenSSL 1.0.0 &lt; 1.0.0p Multiple Vulnerabilities (FREAK)</t>
    <phoneticPr fontId="3" type="noConversion"/>
  </si>
  <si>
    <t>OpenSSL是OpenSSL团队开发的一个开源的能够实现安全套接层（SSL v2/v3）和安全传输层（TLS v1）协议的通用加密库，它支持多种加密算法，包括对称密码、哈希算法、安全散列算法等。
OpenSSL 1.0.1j版本的s23_srvr.c文件中的‘ssl23_get_client_hello’函数存在安全漏洞，该漏洞源于程序没有正确处理使用非支持的协议。远程攻击者可借助特制的握手利用该漏洞造成拒绝服务（空指针逆向引用和守护进程崩溃）。</t>
    <phoneticPr fontId="3" type="noConversion"/>
  </si>
  <si>
    <t xml:space="preserve">目前厂商已经发布了升级补丁以修复此安全问题，补丁获取链接： 
        http://rt.openssl.org/Ticket/Display.html?id=3571&amp;user=guest&amp;pass=guest </t>
    <phoneticPr fontId="3" type="noConversion"/>
  </si>
  <si>
    <t>OpenSSL‘d2i_ECPrivateKey’函数释放后重用漏洞</t>
    <phoneticPr fontId="3" type="noConversion"/>
  </si>
  <si>
    <t>OpenSSL 1.0.0 &lt; 1.0.0r Multiple Vulnerabilities</t>
    <phoneticPr fontId="3" type="noConversion"/>
  </si>
  <si>
    <t>OpenSSL是OpenSSL团队开发的一个开源的能够实现安全套接层（SSL v2/v3）和安全传输层（TLS v1）协议的通用加密库，它支持多种加密算法，包括对称密码、哈希算法、安全散列算法等。
OpenSSL的crypto/ec/ec_asn1.c文件中的‘d2i_ECPrivateKey’函数存在释放后重用漏洞。远程攻击者可借助畸形的Elliptic Curve(EC)private-key文件利用该漏洞造成拒绝服务（内存损坏和应用程序崩溃）。以下版本受到影响：OpenSSL 0.9.8zf之前版本，1.0.0r之前1.0.0版本，1.0.1m之前1.0.1版本，1.0.2a之前1.0.2版本。</t>
    <phoneticPr fontId="3" type="noConversion"/>
  </si>
  <si>
    <t xml:space="preserve">目前厂商已经发布了升级补丁以修复此安全问题，补丁获取链接： 
https://www.openssl.org/news/secadv_20150319.txt </t>
    <phoneticPr fontId="3" type="noConversion"/>
  </si>
  <si>
    <t>OpenSSL‘BN_GF2m_mod_inv’函数拒绝服务漏洞</t>
    <phoneticPr fontId="3" type="noConversion"/>
  </si>
  <si>
    <t>OpenSSL是OpenSSL团队开发的一个开源的能够实现安全套接层（SSL v2/v3）和安全传输层（TLS v1）协议的通用加密库，它支持多种加密算法，包括对称密码、哈希算法、安全散列算法等。
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t>
    <phoneticPr fontId="3" type="noConversion"/>
  </si>
  <si>
    <t xml:space="preserve">目前厂商已经发布了升级补丁以修复此安全问题，补丁获取链接： 
        https://www.openssl.org/news/secadv_20150611.txt </t>
    <phoneticPr fontId="3" type="noConversion"/>
  </si>
  <si>
    <t>OpenSSL 1.0.0 &lt; 1.0.0s Multiple Vulnerabilities</t>
    <phoneticPr fontId="3" type="noConversion"/>
  </si>
  <si>
    <t>OpenSSL 1.0.0 &lt; 1.0.0t Multiple DoS</t>
    <phoneticPr fontId="3" type="noConversion"/>
  </si>
  <si>
    <t>OpenSSL是一种开放源码的SSL实现，用来实现网络通信的高强度加密，现在被广泛地用于各种网络应用程序中。
OpenSSL 0.9.8zh之前版本,1.0.0-1.0.0t, 1.0.1-1.0.1q, 1.0.2-1.0.2e版本crypto/asn1/tasn_dec.c中，ASN1_TFLG_COMBINE在实现上错误处理了畸形X509_ATTRIBUTE数据造成的错误。通过触发PKCS#7或CMS应用的解码失败，远程攻击者利用此漏洞可获取进程内存的敏感信息。</t>
    <phoneticPr fontId="3" type="noConversion"/>
  </si>
  <si>
    <t>OpenSSL ASN1_TFLG_COMBINE信息泄露漏洞</t>
    <phoneticPr fontId="3" type="noConversion"/>
  </si>
  <si>
    <t xml:space="preserve">厂商补丁：
OpenSSL Project
 ---------------
 OpenSSL Project已经为此发布了一个安全公告（20151203）以及相应补丁:
 20151203：OpenSSL Security Advisory [3 Dec 2015] - Updated [4 Dec 2015]
 链接：http://openssl.org/news/secadv/20151203.txt
</t>
    <phoneticPr fontId="3" type="noConversion"/>
  </si>
  <si>
    <t>MS11-058: Vulnerabilities in DNS Server Could Allow Remote Code Execution (2562485) (remote check)</t>
    <phoneticPr fontId="3" type="noConversion"/>
  </si>
  <si>
    <t>Microsoft Windows DNS Server NAPTR查询远程代码执行漏洞</t>
    <phoneticPr fontId="3" type="noConversion"/>
  </si>
  <si>
    <t>Windows DNS Server是微软公司推出的域名系统或者域名服务，域名系统为Internet上的主机分配域名地址和IP地址。 
        Windows DNS Server在NAPTR查询的实现上存在远程代码执行漏洞，由于在处理不存在域的查询时存在错误，可造成服务器停止响应。远程攻击者可利用此漏洞以系统级别的权限执行任意代码，完全控制受影响计算机。</t>
    <phoneticPr fontId="3" type="noConversion"/>
  </si>
  <si>
    <t xml:space="preserve"> 目前厂商已经发布了升级补丁以修复此安全问题，补丁获取链接： 
        http://www.microsoft.com/technet/security/Bulletin/MS11-058.mspx </t>
    <phoneticPr fontId="3" type="noConversion"/>
  </si>
  <si>
    <t>Multiple Vendor DNS Response Flooding Denial Of Service</t>
  </si>
  <si>
    <t>多个供应商DNS响应泛滥拒绝服务漏洞</t>
  </si>
  <si>
    <t xml:space="preserve"> DNS协议的多种实现方式存在漏洞，包括：(1)如Posadis所使用的Poslib 1.0.2-1及其以前的版本，(2) 固件3.13以前版本中的AxisNetwork产品，和(3)Men &amp; Mice Suite 2.2.3以前的2.2x版本和3.5.2以前的3.5.x版本，远程攻击者借助(a)具有本地主机的DNS查询包作为一个欺骗性的源地址或者(b)触发一个响应包的应答包，从而触发一个通讯环导致服务拒绝（CPU和网络带宽消耗）。</t>
  </si>
  <si>
    <t>解决办法：
http://cve.scap.org.cn/cve-2004-0789.html
http://www.securityfocus.com/bid/11642/info
http://www.cnnvd.org.cn/vulnerability/show/cv_cnnvdid/CNNVD-200412-718</t>
    <phoneticPr fontId="3" type="noConversion"/>
  </si>
  <si>
    <t>Oracle WebLogic Java Object Unserialization RCE</t>
    <phoneticPr fontId="3" type="noConversion"/>
  </si>
  <si>
    <t>Oracle WebLogic Server远程代码执行漏洞</t>
    <phoneticPr fontId="3" type="noConversion"/>
  </si>
  <si>
    <t>Oracle Weblogic Server是应用程序服务器。
Oracle WebLogic Server 10.3.6.0, 12.1.2.0, 12.1.3.0, 12.2.1.0版本中，WLS Security组件允许远程攻击者执行任意命令。攻击者通过向TCP端口7001发送T3协议流量，其中包含精心构造的序列化Java对象利用此漏洞。此漏洞影响到WLS Security Handler的文件oracle_common/modules/com.bea.core.apache.commons.collections.jar内一个未知的函数。</t>
    <phoneticPr fontId="3" type="noConversion"/>
  </si>
  <si>
    <t>目前厂商已经发布了升级补丁以修复这个安全问题，请到厂商的主页下载：
http://www.oracle.com/technetwork/topics/security/alert-cve-2015-4852-2763333.html
https://blogs.oracle.com/security/entry/security_alert_cve_2015_4852</t>
    <phoneticPr fontId="3" type="noConversion"/>
  </si>
  <si>
    <t>OpenSSH MaxAuthTries Bypass</t>
    <phoneticPr fontId="3" type="noConversion"/>
  </si>
  <si>
    <t>OpenSSH sshd 安全漏洞</t>
    <phoneticPr fontId="3" type="noConversion"/>
  </si>
  <si>
    <t>OpenSSH（OpenBSD Secure Shell）是OpenBSD计划组所维护的一套用于安全访问远程计算机的连接工具。该工具是SSH协议的开源实现，支持对所有的传输进行加密，可有效阻止窃听、连接劫持以及其他网络级的攻击。
OpenSSH 6.9及之前版本的sshd中的auth2-chall.c文件中的‘kbdint_next_device’函数存在安全漏洞，该漏洞源于程序没有正确限制处理单链接中的keyboard-interactive设备。远程攻击者可借助ssh -oKbdInteractiveDevices选项中较长且重复的列表利用该漏洞实施暴力破解攻击，或造成拒绝服务（CPU消耗）。</t>
    <phoneticPr fontId="3" type="noConversion"/>
  </si>
  <si>
    <t>目前厂商已经发布了升级补丁以修复此安全问题，补丁获取链接：
        http://cvsweb.openbsd.org/cgi-bin/cvsweb/src/usr.bin/ssh/auth2-chall.c</t>
    <phoneticPr fontId="3" type="noConversion"/>
  </si>
  <si>
    <t>BMC Server Automation RSCD Agent Weak ACL XML-RPC Arbitrary Command Execution</t>
  </si>
  <si>
    <t>BMC服务器自动化RSCD代理弱ACL XML-RPC执行任意命令</t>
  </si>
  <si>
    <t>在远程主机上运行的RSCD代理没有访问的控制来防止攻击者执行XML-RPC命令。一个未经身份验证的远程攻击者可以利用这个在用户的上下文中执行任意的命令连接映射。</t>
  </si>
  <si>
    <t>将更严格的访问控制应用到导出文件中。</t>
  </si>
  <si>
    <t>MS16-047: Security Update for SAM and LSAD Remote Protocols (3148527) (Badlock) (uncredentialed check)</t>
  </si>
  <si>
    <t>MS16-047：SAM 和 LSAD 远程协议安全更新程序(3148527)</t>
  </si>
  <si>
    <t>当安全帐户管理器 (SAM) 和本地安全机构（域策略）(LSAD) 远程协议接受不充分保护这些协议的验证级别时，它们中会存在一个特权提升漏洞。此漏洞是由 SAM 和 LSAD 远程协议建立远程过程调用 (RPC) 通道的方式导致的。成功利用此漏洞的攻击者可以获得对 SAM 数据库的访问权限。</t>
  </si>
  <si>
    <t>下载相应的更新补丁：https://support.microsoft.com/zh-cn/kb/3148527</t>
  </si>
  <si>
    <t>SSH Weak Algorithms Supported</t>
  </si>
  <si>
    <t>SSH弱算法支持</t>
  </si>
  <si>
    <t>nessus检测到远程SSH服务器配置为使用arcfour的流密码或没有密码。RFC 4253建议不要使用有问题的arcfour的弱密钥</t>
  </si>
  <si>
    <t>联系供应商或咨询产品文件，以消除弱密码。</t>
  </si>
  <si>
    <t>BMC Server Automation RSCD Agent Weak ACL NSH Arbitrary Command Execution</t>
  </si>
  <si>
    <t xml:space="preserve">BMC服务器自动化RSCD代理弱ACL NSH执行任意命令
</t>
  </si>
  <si>
    <t>BMC自动化RSCD代理服务器在远程主机上以这样的方式配置的运行，这种方式会暴露一个API，可以用于不受限制的命令执行。。一个未经身份验证的远程攻击者可以利用这个NSH协议，执行任意命令。</t>
  </si>
  <si>
    <t>更新导出文件以限制对接口的访问。</t>
  </si>
  <si>
    <t>ESXi 5.5 &lt; Build 3248547 Shared Folders (HGFS) Guest Privilege Escalation (VMSA-2016-0001) (remote check)</t>
  </si>
  <si>
    <t>VMware ESXi, Fusion, Player和Workstation updates address important guest的权限提升漏洞</t>
  </si>
  <si>
    <t>远程VMware的ESXi5.5主机是建立在3248547之前，共享文件夹（HGFS）功能由于不当的验证用户提供的输入，因此受guest权限提升漏洞影响。本地攻击者可以利用这个侵蚀内存，从而导致权限提升。</t>
  </si>
  <si>
    <t>根据供应商提供应用补丁ESXi550-201512102-SG。需要注意的是VMware的工具在使用共享任何基于Windows的guest
文件夹（HGFS）功能也必须更新，以彻底缓解漏洞。</t>
  </si>
  <si>
    <t>ESXi 5.5 &lt; Build 3568722 / 6.0 &lt; Build 3568940 glibc DNS Resolver RCE (VMSA-2016-0002) (remote check)</t>
  </si>
  <si>
    <t>VMware产品更新解决一个关键的glibc安全漏洞（远程代码执行漏洞）</t>
  </si>
  <si>
    <t>远程VMware ESXi主机版本5.5build3568722之前或版本6build3568940之前。会受一个基于堆栈的在GNU C库缓冲区溢出条件（glibc）DNS客户端解析器由于不当的验证用户提供的输入时通过getaddrinfo()功能提供名称查询。攻击者可以利用这个来执行任意代码，通过使用攻击者控制域名，攻击者控制的DNS服务器，或通过中间人攻击。</t>
  </si>
  <si>
    <t>在供应商咨询中应用适当的补丁。</t>
  </si>
  <si>
    <t>IBM Baseboard Management Controller Default Credentials</t>
  </si>
  <si>
    <t xml:space="preserve">IBM的基板管理控制器的默认凭据
</t>
  </si>
  <si>
    <t xml:space="preserve">
远程主机似乎是一个IBM的基板管理控制器(BMC),用于提供带外管理。远端BMC使用默认密码保护。</t>
  </si>
  <si>
    <t>用强密码替换默认的密码。</t>
  </si>
  <si>
    <t>IPMI Cipher Suite Zero Authentication Bypass</t>
  </si>
  <si>
    <t xml:space="preserve">IPMI密码套件零认证
</t>
  </si>
  <si>
    <t>IPMI服务侦听远程系统的密码套件零启用，它允许作为管理员登录，而不需要密码.一旦登录，远程攻击者可能会执行各种各样的行动，包括关闭远程系统。</t>
  </si>
  <si>
    <t xml:space="preserve">禁用密码套件零或限制访问IPMI服务。 </t>
  </si>
  <si>
    <t>VMware ESXi 5.5 &lt; Build 3029944 OpenSLP RCE (VMSA-2015-0007)</t>
  </si>
  <si>
    <t>VMware ESXi主机远程执行代码漏洞</t>
  </si>
  <si>
    <t>远程VMware ESXi版本5.5build3029944之前。openslp的slpdprocessmessage()函数的双重释放错误导致远程代码执行漏洞。一个未经身份验证的远程攻击者可以利用这一点，通过精心制作的包，执行任意代码或造成拒绝服务条件。</t>
  </si>
  <si>
    <t xml:space="preserve">
应用补丁ESXi550-201509101-SG ESXi的5.5。</t>
  </si>
  <si>
    <t>VMware ESXi Multiple OpenSSL Vulnerabilities (VMSA-2014-0004) (Heartbleed)</t>
  </si>
  <si>
    <t xml:space="preserve">Vmware ESXi OpenSSL的多个漏洞(CVE-2014-0076)(CVE-2014-0160)
</t>
  </si>
  <si>
    <t>在OpenSSL的第三方库受多个漏洞影响：
1、(CVE-2014-0076)OpenSSL 1.0.0l及之前版本中的Montgomery ladder实现过程中存在安全漏洞，该漏洞源于Elliptic Curve Digital Signature Algorithm (ECDSA)中存在错误。远程攻击者可通过FLUSH+RELOAD Cache旁道攻击利用该漏洞获取ECDSA随机数值。
2、(CVE-2014-0160)OpenSSL的TLS和DTLS实现过程中的d1_both.c和t1_lib.c文件中存在安全漏洞，该漏洞源于当处理Heartbeat Extension数据包时，缺少边界检查。远程攻击者可借助特制的数据包利用该漏洞读取服务器内存中的敏感信息(如用户名、密码、Cookie、私钥等)。以下版本的OpenSSL受到影响：1.0.1，1.0.1:beta1，1.0.1:beta2，1.0.1:beta3，1.0.1a，1.0.1b，1.0.1c，1.0.1d，1.0.1e，1.0.1f。目前OpenSSL官方已经发布补丁，用户可以通过升级修复漏洞，或者使用-DOPENSSL_NO_HEARTBEATS参数重新编译受影响版本的OpenSSL以禁用Heartbeat模块。</t>
  </si>
  <si>
    <t>更新相应的补丁：http://www.vmware.com/security/advisories/VMSA-2014-0004.html</t>
  </si>
  <si>
    <t>VMware ESXi Multiple OpenSSL Vulnerabilities (VMSA-2014-0006)</t>
  </si>
  <si>
    <t xml:space="preserve">Vmware ESXi OpenSSL的多个漏洞(CVE-2010-5298)(CVE-2014-0198)(CVE-2014-0224)(CVE-2014-3470)
</t>
  </si>
  <si>
    <t>在OpenSSL的第三方库受多个漏洞影响：
1、(CVE-2010-5298)OpenSSL 1.0.1g及之前版本的s3_pkt.c文件中的‘ssl3_read_bytes’函数存在竞争条件漏洞。当使用SSL_MODE_RELEASE_BUFFERS时，远程攻击者可通过在多线程环境下建立SSL连接利用该漏洞造成拒绝服务（释放后重用和解析错误）。
2、(CVE-2014-0198)OpenSSL 1.x至1.0.1g版本的s3_pkt.c文件中的‘do_ssl3_write’函数存在缓冲区溢出漏洞，该漏洞源于当使用SSL_MODE_RELEASE_BUFFERS时，在递归调用期间程序没有正确管理缓冲区指针。远程攻击者可利用该漏洞造成拒绝服务（空指针逆向引用和应用程序崩溃）。
3、(CVE-2014-0224)OpenSSL中存在安全漏洞，该漏洞源于程序没有正确限制ChangeCipherSpec消息的处理。攻击者可借助特制的TLS握手利用该漏洞实施中间人攻击，在OpenSSL-to-OpenSSL通信过程中使用零长度的主密钥，劫持会话或获取敏感消息。以下版本受到影响：OpenSSL 0.9.8y及之前的版本，1.0.0m之前的1.0.0版本，1.0.1h之前的1.0.1版本。
4、(CVE-2014-3470)OpenSSL的s3_clnt.c文件中的‘ssl3_send_client_key_exchange’函数存在安全漏洞。当使用匿名的ECDH密码套件时，远程攻击者可利用该漏洞造成拒绝服务（空指针逆向引用和客户端崩溃）。以下版本受到影响：OpenSSL 0.9.8y及之前的版本，1.0.0m之前的1.0.0版本，1.0.1h之前的1.0.1版本。</t>
  </si>
  <si>
    <t>更新相应的补丁：http://www.vmware.com/security/advisories/VMSA-2014-0006.html</t>
  </si>
  <si>
    <t>VMware ESXi Multiple DoS (VMSA-2014-0008)</t>
  </si>
  <si>
    <t>VMware ESXi 拒绝服务</t>
  </si>
  <si>
    <t xml:space="preserve">
在glibc库中的漏洞导致拒绝服务：
1、（CVE-2013-0242）glibc 2.17及更早版本中的正则表达式匹配器中的extend_buffers函数中存在缓冲区溢出漏洞。基于上下文的攻击者可通过特制的多字节字符利用该漏洞导致拒绝服务（内存耗尽或崩溃）。
2、（CVE-2013-1914）GNU C Library中存在漏洞，恶意人员可利用该漏洞导致DoS（拒绝服务）。该漏洞源于在处理域转换结果时"getaddrinfo()"函数(sysdeps/posix/getaddrinfo.c)存在错误，攻击者可利用该漏洞导致栈溢出和应用程序崩溃。
</t>
  </si>
  <si>
    <t xml:space="preserve">
更新相应的补丁：http://www.vmware.com/security/advisories/VMSA-2014-0008.html</t>
  </si>
  <si>
    <t>VMware vCenter Multiple Vulnerabilities (VMSA-2015-0008)</t>
  </si>
  <si>
    <t>VMware vCenter多个漏洞</t>
  </si>
  <si>
    <t>VMware vCenter服务器受下列漏洞影响：
1、（CVE-2015-3269）XML外部实体(XXE)注入缺陷存在Flex flex-messaging-core BlazeDS的文件。jar将一个不正确的XML解析器接受XML配置外部实体不可信来源。一个远程攻击者可以利用这一点,通过特殊的手工AMF消息包含一个外部实体声明的XML结合一个实体引用,任意阅读文件,从而获得潜在的敏感信息。
2、(CVE-2015-5255)一个服务器端请求伪造(SSRF)漏洞存在在Flex BlazeDS。远程攻击者可以利用这一点,通过一个精心设计的XML文档,将HTTP流量局域网服务器,从而绕过访问限制,允许进一步进行基于主机的攻击。</t>
  </si>
  <si>
    <t xml:space="preserve">
升级到VMware vCenter服务器版本5.5u3（5.5.0 build-3000241）/5.1u3b（5.1.0 build-3070521）/ 5.0u3e（5.0.0 build-3073236）或之后： http://www.vmware.com/security/advisories/VMSA-2015-0008.html</t>
  </si>
  <si>
    <t>VMware vCenter Server 5.0.x &lt; 5.0u3e / 5.1.x &lt; 5.1u3b / 5.5.x &lt; 5.5u3 (Linux) / 5.5.x &lt; 5.5u3b (Windows) / 6.0.x &lt; 6.0.0b JMX Deserialization RCE (VMSA-2016-0005)</t>
  </si>
  <si>
    <t>VMware vCenter Server 5.0。x &lt; 5.0 u3e / 5.1。x &lt; 5.1 u3b / 5.5。u3(Linux)/ 5.5 x &lt; 5.5。x &lt; 5.5 u3b(Windows)/ 6.0。x &lt; 6.0.0b JMX反序列化远端控制设备</t>
  </si>
  <si>
    <t>VMware vCenter服务器的版本安装在远程主机上5.0。5.0 x 5.0 u3e之前,。5.1 x 5.1 u3b之前,。x 5.5 u3之前5.5(Linux)。x 5.5 u3b(Windows)或6.0。x 6.0.0b之前。当反序列化认证证书时会受到Oracle JMX的缺陷影响。一个未经身份验证的远程攻击者可以利用这个来执行任意代码。</t>
  </si>
  <si>
    <t>升级相应版本：https://www.vmware.com/security/advisories/VMSA-2016-0005.html</t>
  </si>
  <si>
    <t>VMware vCenter Server 5.0.x &lt; 5.0u3g / 5.1.x &lt; 5.1u3d / 5.5.x &lt; 5.5u2d Reflected XSS (VMSA-2016-0009)</t>
  </si>
  <si>
    <t>VMware vCenter Server 5.0.x &lt; 5.0u3g / 5.1.x &lt; 5.1u3d / 5.5.x &lt; 5.5u2d 反射型跨站脚本漏洞</t>
  </si>
  <si>
    <t>由于输入过滤不当导致反射跨站脚本攻击。一个未经身份验证的远程攻击者可以利用这个漏洞，通过诱导一个用户点击一个恶意链接，通过在用户的浏览器会话中的代码，执行任意脚本。</t>
  </si>
  <si>
    <t>升级到VMware vCenter服务器版本5.0u3g（5.0.0 build-3891026）
/ 5.1u3d（5.1.0 build-3814779）/ 5.5u2d（5.5.0 build-2442329）或之后的版本。</t>
  </si>
  <si>
    <t>Apache Tomcat XSRF Token Disclosure</t>
  </si>
  <si>
    <t>Apache Tomcat XSRF Token信息泄露</t>
  </si>
  <si>
    <t>一个未经身份验证的远程攻击者可以利用这个漏洞获取一个有效的跨站点请求伪造(XSRF)令牌在重定向时发出请求 /manager/或/ host-manager /。这个令牌可以被攻击者利用构造一个XSRF攻击。</t>
  </si>
  <si>
    <t>升级到Apache Tomcat版本7.0.68 / 8.0.32 / 9.0.0。M3或更高版本。</t>
  </si>
  <si>
    <t>PHP 5.4.x &lt; 5.4.39 Multiple Vulnerabilities</t>
  </si>
  <si>
    <t>PHP 5.4.x &lt; 5.4.39 多个漏洞</t>
  </si>
  <si>
    <t xml:space="preserve">1、（CVE-2015-0231）PHP 释放后重用漏洞：PHP的ext/standard/var_unserializer.re文件中的‘process_nested_data’函数存在释放后重用漏洞。远程攻击者可借助特制的反序列化的调用利用该漏洞执行任意代码。以下版本受到影响：PHP 5.4.37之前版本，5.5.21之前5.5.x版本，5.6.5之前5.6.x版本。
2、(CVE-2015-2305)NetBSD Henry Spencer BSD regex library 缓冲区溢出漏洞：NetBSD 6.1.5及之前版本中使用的32-bit平台上的Henry Spencer BSD regex library alpha3.8.g5版本中的regcomp实现过程中存在整数溢出漏洞。攻击者可借助超大的正则表达式利用该漏洞执行任意代码。
3、(CVE-2015-2331)PHP ZIP扩展libzip 数字错误漏洞：PHP的ZIP扩展中使用的libzip 0.11.2及之前版本中的zip_dirent.c文件中的‘_zip_cdir_new’函数存在整数溢出漏洞。远程攻击者可借助特制的ZIP存档利用该漏洞造成拒绝服务（应用程序崩溃），或执行任意代码。以下版本受到影响：PHP 5.4.38及之前版本，5.5.23之前5.5.x版本，5.6.7之前5.6.x版本。
4、(CVE-2015-2348)PHP move_uploaded_file 权限许可和访问控制漏洞：PHP的ext/standard/basic_functions.c文件中的move_uploaded_file实现过程中存在安全漏洞。远程攻击者可借助特制的‘second ’参数利用该漏洞绕过既定的扩展限制，创建任意名称的文件。以下版本受到影响：PHP 5.4.38及之前版本，5.5.23之前5.5.x版本，5.6.7之前5.6.x版本。
5、(CVE-2015-2787)PHP‘process_nested_data’函数释放后重用漏洞：PHP的ext/standard/var_unserializer.re文件中的‘process_nested_data’函数存在释放后重用漏洞。远程攻击者可利用该漏洞执行任意代码。
</t>
  </si>
  <si>
    <t xml:space="preserve">升级到PHP 5.4.39或更高版本。
</t>
  </si>
  <si>
    <t>PHP 5.4.x &lt; 5.4.40 Multiple Vulnerabilities</t>
  </si>
  <si>
    <t>PHP 5.4.x &lt; 5.4.40 多个漏洞</t>
  </si>
  <si>
    <t xml:space="preserve">1、(CVE-2014-9709)PHP GD 缓冲区溢出漏洞：PHP 5.5.20及之前版本和5.6.5之前5.6.x版本中使用的GD 2.1.1及之前版本的gd_gif_in.c文件中的‘GetCode_’函数存在安全漏洞，该漏洞源于‘gdImageCreateFromGif’函数没有正确处理特制的GIF图像。远程攻击者可利用该漏洞造成拒绝服务（缓冲区越边界读取和应用程序崩溃）。
2、(CVE-2015-1352)PHP PostgreSQL扩展拒绝服务漏洞：PHP 5.6.7及之前版本的PostgreSQL扩展中的pgsql.c文件中的‘build_tablename’函数存在安全漏洞，该漏洞源于程序没有正确验证表单名称的‘token’参数提取。远程攻击者可借助特制的名称利用该漏洞造成拒绝服务（空指针逆向引用和应用程序崩溃）。
3、(CVE-2015-2301)PHP‘phar_rename_archive’函数释放后重用漏洞：PHP 5.5.21及之前版本和5.6.6之前5.6.x版本的phar_object.c文件中的‘phar_rename_archive’函数存在释放后重用漏洞。远程攻击者可利用该漏洞造成拒绝服务。
4、(CVE-2015-2783)PHP 安全漏洞：PHP中存在安全漏洞，该漏洞源于程序在解析PHAR文件时存在边界错误。攻击者可利用该漏洞泄露任何内存内容。PHP 5.4.39版本，5.5.23版本和5.6.7版本中存在漏洞，其他版本也可能受到影响。
5、(CVE-2015-3329)PHP 缓冲区溢出漏洞:PHP中存在缓冲区溢出漏洞，该漏洞源于‘phar_set_inode()’函数（ext/phar/phar_internal.h）中存在错误。攻击者可借助特制的PHAR归档利用该漏洞造成拒绝服务。PHP 5.4.39版本，5.5.23版本和5.6.7版本中存在漏洞，其他版本也可能受到影响。
6、(CVE-2015-3330)PHP 安全漏洞：PHP中存在安全漏洞。远程攻击者可利用该漏洞执行任意代码，或造成拒绝服务。PHP 5.4.39版本，5.5.23版本和5.6.7版本中存在漏洞，其他版本也可能受到影响。
7、(CVE-2015-4601)PHP 内存损坏漏洞：PHP中存在内存损坏漏洞。攻击者可利用该漏洞使应用程序崩溃，造成拒绝服务。
8、(CVE-2015-4602)PHP‘incomplete_class.c’内存损坏漏洞：PHP中存在内存损坏漏洞。攻击者可利用该漏洞获取敏感信息，或使应用程序崩溃，造成拒绝服务。
9、(CVE-2015-4603)PHP‘exception::getTraceAsString’远程安全漏洞：PHP中存在远程安全漏洞。攻击者可利用该漏洞获取敏感信息，或使应用程序崩溃，造成拒绝服务。
10、(CVE-2015-4604)PHP libmagick‘libmagic/softmagic.c’拒绝服务漏洞：PHP libmagick中存在拒绝服务漏洞。攻击者可利用该漏洞使应用程序崩溃，拒绝服务合法用户。
11、(CVE-2015-4605)PHP libmagick‘libmagic/softmagic.c’拒绝服务漏洞：PHP libmagick中存在拒绝服务漏洞。攻击者可利用该漏洞使应用程序崩溃，拒绝服务合法用户。
</t>
  </si>
  <si>
    <t>升级到PHP 5.4.39或更高版本。</t>
  </si>
  <si>
    <t>PHP 5.4.x &lt; 5.4.41 Multiple Vulnerabilities</t>
  </si>
  <si>
    <t>PHP 5.4.x &lt; 5.4.41 多个漏洞</t>
  </si>
  <si>
    <t>1、(CVE-2006-7243）PHP绕过预设的访问限制漏洞：PHP 5.3.4之前版本接受了路径名称中的/0字符。上下文攻击者可以通过在该字符后放置安全文件扩展名，绕过预设的访问限制。该漏洞已经通过向file_exists函数传递的参数末端的.php\0.jpg得到证实。
2、(CVE-2015-4024)PHP‘multipart_buffer_headers’函数资源管理错误漏洞：PHP的main/rfc1867.c文件中的‘multipart_buffer_headers’函数存在算法复杂性漏洞。远程攻击者可借助特制的表单数据利用该漏洞造成拒绝服务（CPU消耗）。以下版本受到影响：PHP 5.4.41之前版本，5.5.25之前5.5.x版本，5.6.9之前5.6.x版本。</t>
  </si>
  <si>
    <t>升级到PHP 5.4.41或更高版本。</t>
  </si>
  <si>
    <t>PHP 5.4.x &lt; 5.4.42 Multiple Vulnerabilities</t>
  </si>
  <si>
    <t>PHP 5.4.x &lt; 5.4.42 多个漏洞</t>
  </si>
  <si>
    <t>1、(CVE-2015-2325）PCRE’compile_branch()‘函数基于堆的缓冲区溢出漏洞：PCRE中存在基于堆的缓冲区溢出漏洞。攻击者可利用该漏洞在应用程序上下文中执行任意代码，也可能造成拒绝服务。
2、(CVE-2015-3414)SQLite 拒绝服务漏洞：SQLite 3.8.9之前版本中存在安全漏洞，该漏洞源于程序没有正确处理collation-sequence名称的‘dequote’操作。攻击者可借助特制的COLLATE子句利用该漏洞造成拒绝服务（未初始化的内存访问和应用程序崩溃）。
3、(CVE-2015-3415)SQLite 拒绝服务漏洞：SQLite 3.8.9之前版本的vdbe.c文件中的‘sqlite3VdbeExec’函数存在安全漏洞，该漏洞源于程序没有正确实现比较运算符。攻击者可借助特制的CHECK子句利用该漏洞造成拒绝服务（无效的释放操作）。</t>
  </si>
  <si>
    <t>升级到PHP 5.4.42或更高版本。</t>
  </si>
  <si>
    <t>PHP 5.4.x &lt; 5.4.43 Multiple Vulnerabilities (BACKRONYM)</t>
  </si>
  <si>
    <t>PHP 5.4.x &lt; 5.4.43 多个漏洞</t>
  </si>
  <si>
    <t xml:space="preserve">1、(CVE-2015-3152)Oracle MySQL SSL证书验证安全绕过漏洞：Oracle MySQL中存在安全绕过漏洞，该漏洞源于程序没有正确验证SSl证书。攻击者可利用该漏洞实施中间人攻击，或冒充可信服务器。
2、(VulnDB 124239)存在于一个未指明的缺陷在phar_object phar_convert_to_other()函数。c在无效的TAR文件的转换。攻击者可以利用这个漏洞PHP应用程序崩溃,导致拒绝服务。
</t>
  </si>
  <si>
    <t>升级到PHP 5.4.43或更高版本。</t>
  </si>
  <si>
    <t>PHP 5.4.x &lt; 5.4.44 Multiple Vulnerabilities</t>
  </si>
  <si>
    <t>PHP 5.4.x &lt; 5.4.44 多个漏洞</t>
  </si>
  <si>
    <t>1、(VulnDB 125849)由于c不当过滤处理输入unserialize()函数，导致spl_dllist use-after-free错误存在于文件。攻击者可以利用这一点,通过使用一个经过设计的SplDoublyLinkedList对象,释放内存,从而执行任意代码。
2、(VulnDB 125850)由于c不当过滤处理输入unserialize()函数，导致spl_observer错误存在于文件。攻击者可以利用这一点,通过使用一个经过设计的splobjectstorage对象,释放内存,从而执行任意代码。</t>
  </si>
  <si>
    <t>升级到PHP 5.4.44或更高版本。</t>
  </si>
  <si>
    <t>PHP 5.4.x &lt; 5.4.45 Multiple Vulnerabilities</t>
  </si>
  <si>
    <t>PHP 5.4.x &lt; 5.4.45 多个漏洞</t>
  </si>
  <si>
    <t>1、(CVE-2015-6834)多个use-after-free内存错误存在相关unserialize()函数。远程攻击者可以利用这些错误执行任意代码。
2、(CVE-2015-6835)use-after-free内存错误存在相关php_var_unserialize()函数。远程攻击者使用一个经过设计序列化的字符串,可以利用这个来执行任意代码。</t>
  </si>
  <si>
    <t>升级到PHP 5.4.45或更高版本。</t>
  </si>
  <si>
    <t>OpenSSL 1.0.1 &lt; 1.0.1n Multiple Vulnerabilities (Logjam)</t>
  </si>
  <si>
    <t>OpenSSL 1.0.1 &lt; 1.0.1n 多个漏洞</t>
  </si>
  <si>
    <t>1、（CVE-2015-1788）OpenSSL‘BN_GF2m_mod_inv’函数拒绝服务漏洞，OpenSSL的crypto/bn/bn_gf2m.c文件中的‘BN_GF2m_mod_inv’函数存在安全漏洞，该漏洞源于程序没有正确处理ECParameters结构体。远程攻击者可借助使用Elliptic Curve算法的会话利用该漏洞造成拒绝服务（无限循环）。以下版本受到影响：OpenSSL 0.9.8s之前版本，1.0.0e之前1.0.0版本，1.0.1n之前1.0.1版本，1.0.2b之前1.0.2版本。
2、（CVE-2015-1789）OpenSSL‘X509_cmp_time’函数拒绝服务漏洞(CNNVD-201506-245)OpenSSL的crypto/x509/x509_vfy.c文件中的‘X509_cmp_time’函数存在安全漏洞。远程攻击者可借助ASN1_TIME数据中特制的长度字段利用该漏洞造成拒绝服务（越边界读取和应用程序崩溃）。以下版本受到影响：OpenSSL 0.9.8zg之前版本，1.0.0s之前1.0.0版本，1.0.1n之前1.0.1版本，1.0.2b之前1.0.2版本。
3、（CVE-2015-1790）OpenSSL‘PKCS7_dataDecode’函数拒绝服务漏洞，OpenSSL的crypto/pkcs7/pk7_doit.c文件中的‘PKCS7_dataDecode’函数存在安全漏洞。远程攻击者可借助畸形的PKCS#7二进制大对象（使用ASN.1编码并缺少内部EncryptedContent数据），利用该漏洞造成拒绝服务（空指针逆向引用和应用程序崩溃）。以下版本受到影响：OpenSSL 0.9.8zg之前版本，1.0.0s之前1.0.0版本，1.0.1n之前1.0.1版本，1.0.2b之前1.0.2版本。
4、（CVE-2015-1791）OpenSSL‘ssl3_get_new_session_ticket’函数竞争条件漏洞，OpenSSL的ssl/s3_clnt.c文件中的‘ssl3_get_new_session_ticket’函数存在竞争条件漏洞。当程序运行在多线程的客户端时，远程攻击者可通过提供NewSessionTicket利用该漏洞造成拒绝服务（双重释放和应用程序崩溃）。以下版本受到影响：OpenSSL 0.9.8zg之前版本，1.0.0s之前1.0.0版本，1.0.1n之前1.0.1版本，1.0.2b之前1.0.2版本。
5、（CVE-2015-1792）OpenSSL‘do_free_upto’函数资源管理错误漏洞，OpenSSL的crypto/cms/cms_smime.c文件中的‘do_free_upto’函数存在安全漏洞。远程攻击者可利用该漏洞造成拒绝服务（无限循环）。以下版本受到影响：OpenSSL 0.9.8zg之前版本，1.0.0s之前1.0.0版本，1.0.1n之前1.0.1版本，1.0.2b之前1.0.2版本。
6、（CVE-2015-400）TLS协议加密问题漏洞，TLS协议1.2及之前版本中存在安全漏洞，该漏洞源于当服务器启用DHE_EXPORT密码套件时，程序没有正确传递DHE_EXPORT选项。攻击者可通过重写ClientHello（使用DHE_EXPORT取代DHE），然后重写ServerHello（使用DHE取代DHE_EXPORT），利用该漏洞实施中间人攻击和cipher-downgrade攻击。</t>
  </si>
  <si>
    <t>请升级到OpenSSL1.0.2以上更高版本。</t>
  </si>
  <si>
    <t>OpenSSL 1.0.1 &lt; 1.0.1p Multiple Vulnerabilities</t>
  </si>
  <si>
    <t>OpenSSL 1.0.1 &lt; 1.0.1p 多个漏洞</t>
  </si>
  <si>
    <t>1、（CVE-2015-1793）OpenSSL 安全漏洞。OpenSSL的crypto/x509/x509_vfy.c文件中的‘X509_verify_cert’函数存在安全漏洞，该漏洞源于程序识别备选的证书链时没有正确处理X.509 Basic Constraints cA值。远程攻击者可借助有效的leaf证书利用该漏洞伪造Certification Authority角色。以下版本受到影响：OpenSSL 1.0.1n版本，1.0.1o版本，1.0.2b版本，1.0.2c版本。
2、（CVE-2015-3196）OpenSSL 安全漏洞。OpenSSL 1.0.0-1.0.0t, 1.0.1-1.0.1p, 1.0.2-1.0.2d版本，用在多线程客户端时，ssl/s3_clnt.c将PSK identity hint写入到错误的数据结构中。通过构造的ServerKeyExchange消息，远程攻击者利用此漏洞可造成拒绝服务（竞争条件及双重释放）。</t>
  </si>
  <si>
    <t>请升级到OpenSSL1.0.2d以上更高版本。</t>
  </si>
  <si>
    <t>OpenSSL 1.0.1 &lt; 1.0.1q Multiple DoS</t>
  </si>
  <si>
    <t>OpenSSL 1.0.1 &lt; 1.0.1q 拒绝服务</t>
  </si>
  <si>
    <t>1、（CVE-2015-3194）OpenSSL crypto/rsa/rsa_ameth.c远程拒绝服务漏洞。OpenSSL 1.0.1-1.0.1q、1.0.2-1.0.2e版本，crypto/rsa/rsa_ameth.c未正确处理不带掩码生成函数参数的RSA PSS ASN.1签名，可使远程攻击者造成拒绝服务（空指针间接引用及应用崩溃）。
2、（CVE-2015-3196）OpenSSL ASN1_TFLG_COMBINE信息泄露漏洞。OpenSSL 0.9.8zh之前版本,1.0.0-1.0.0t, 1.0.1-1.0.1q, 1.0.2-1.0.2e版本crypto/asn1/tasn_dec.c中，ASN1_TFLG_COMBINE在实现上错误处理了畸形X509_ATTRIBUTE数据造成的错误。通过触发PKCS#7或CMS应用的解码失败，远程攻击者利用此漏洞可获取进程内存的敏感信息。</t>
  </si>
  <si>
    <t xml:space="preserve">OpenSSL Project已经为此发布了一个安全公告（20151203）以及相应补丁:
20151203：OpenSSL Security Advisory [3 Dec 2015] - updated [4 Dec 2015]
链接：http://openssl.org/news/secadv/20151203.txt
</t>
  </si>
  <si>
    <t>OpenSSL 1.0.1 &lt; 1.0.1r Multiple Vulnerabilities (Logjam)</t>
  </si>
  <si>
    <t>OpenSSL 1.0.1 &lt; 1.0.1r 多个漏洞</t>
  </si>
  <si>
    <t>1、（CVE-2015-3197）素数生成相关的错误，可被利用来产生X9.42风格参数文件相关的不安全的素数。成功利用这个安全问题需要dh_rfc5114选项使用genpkey。此安全问题被报道存在于版本1.0.2的1.0.2f之前。处理禁用SSLv2加密相关的漏洞源于程序没有正确生成用于Diffie-Hellman协议的质数。远程攻击者可利用该漏洞获取加密密钥和敏感信息。成功利用此漏洞要求不禁用SSLv2协议（通过SSL_OP_NO_SSLv2选项）。这个漏洞被报道存在于版本1.0.1的1.0.1r 版本之前，1.0.2的1.0.2f版本之前。
2、（CVE-2015-4000）TLS协议加密问题漏洞。TLS（Transport Layer Security，安全传输层协议）是一套用于在两个通信应用程序之间提供保密性和数据完整性的协议。TLS协议1.2及之前版本中存在安全漏洞，该漏洞源于当服务器启用DHE_EXPORT密码套件时，程序没有正确传递DHE_EXPORT选项。攻击者可通过重写ClientHello（使用DHE_EXPORT取代DHE），然后重写ServerHello（使用DHE取代DHE_EXPORT），利用该漏洞实施中间人攻击和cipher-downgrade攻击。</t>
  </si>
  <si>
    <t>请更新到版本1.0.1r 或 1.0.2f。</t>
  </si>
  <si>
    <t>OpenSSL 1.0.1 &lt; 1.0.1s Multiple Vulnerabilities (DROWN)</t>
  </si>
  <si>
    <t>OpenSSL 1.0.1 &lt; 1.0.1s 多个漏洞</t>
  </si>
  <si>
    <t>1、（CVE-2016-0702）OpenSSL 模幂运算旁路攻击漏洞。OpenSSL 1.0.2及更早版本、1.0.1及更早版本中，Intel Sandy-Bridge微体系结构存在cache-bank冲突导致的旁道攻击，可导致恢复RSA密钥。
2、（CVE-2016-0705）OpenSSL DSA代码双重释放漏洞。OpenSSL 1.0.2及更早版本、1.0.1及更早版本解析畸形DSA密钥中存在双重释放漏洞，可导致受影响应用拒绝服务或内存破坏。
3、（CVE-2016-0797）OpenSSL BN_hex2bn/BN_dec2bn空指针间接引用及堆破坏漏洞(CVE-2016-0797)。OpenSSL 1.0.2及更早版本、1.0.1及更早版本在函数BN_hex2bn/BN_dec2bn的实现上存在安全漏洞，可导致空指针间接引用及堆破坏等问题。
4、（CVE-2016-0798）OpenSSL SRP_VBASE_get_by_user内存泄露漏洞。OpenSSL 1.0.2及更早版本、1.0.1及更早版本，SRP用户数据库查询方法SRP_VBASE_get_by_user存在内存管理问题，可导致内存泄露。
5、（CVE-2016-0799）OpenSSL BIO_*printf函数内存破坏漏洞。OpenSSL 1.0.2及更早版本、1.0.1及更早版本在BIO_*printf函数的实现上存在内存破坏漏洞，可导致内存泄露等。
6、（CVE-2016-0800）OpenSSL跨协议攻击漏洞。OpenSSL 1.0.2及更早版本、1.0.1及更早版本存在跨协议攻击漏洞，用支持SSLv2及EXPORT加密组件的服务器作为Bleichenbacher RSA padding Oracle攻击方式，可进行TLS会话解密。如果支持的SSLv2及EXPORT加密组件的服务器共享了不受影响服务器的RSA密钥，则客户端及不受影响服务器之间的流量也可被解密。此漏洞被称为DROWN。</t>
  </si>
  <si>
    <t>请更新OpenSSL 1.0.2及更早版本</t>
  </si>
  <si>
    <t>OpenSSL 1.0.1 &lt; 1.0.1o ASN.1 Encoder Negative Zero Value Handling RCE</t>
  </si>
  <si>
    <t>OpenSSL ASN.1编码器内存破坏漏洞</t>
  </si>
  <si>
    <t>OpenSSL中的ASN.1解析器在对数据解析时没有正确处理特定标签，当遇到V_ASN1_NEG_INTEGER和V_ASN1_NEG_ENUMERATED标签时，ASN.1解析器也会将其视作ASN1_ANY类型，从而解析其中的数据。当数据再次编码序列化时，可能造成数据越界写入，引起内存损坏。</t>
  </si>
  <si>
    <t>升级到OpenSSL 1.0.1o或更高版本。</t>
  </si>
  <si>
    <t>OpenSSL 1.0.1 &lt; 1.0.1t Multiple Vulnerabilities</t>
  </si>
  <si>
    <t>OpenSSL 1.0.1 &lt; 1.0.1t 多个漏洞</t>
  </si>
  <si>
    <t xml:space="preserve">存在一个堆缓冲区溢出条件evp_encodeupdate()函数在文件crypto/evp/encode。C触发时处理大量的输入数据。一个未经身份验证的远程攻击者可以利用这个来导致拒绝服务。 </t>
  </si>
  <si>
    <t>升级到OpenSSL 1.0.1t或更高版本。</t>
  </si>
  <si>
    <t>PHP 5.5.x &lt; 5.5.36 Multiple Vulnerabilities</t>
  </si>
  <si>
    <t>PHP 5.5.x &lt; 5.5.36 多个漏洞</t>
  </si>
  <si>
    <t xml:space="preserve">
存在范围读取错误_gdContributionsCalc()函数在文件ext / gd / libgd / gd_interpolation.c。一个未经身份验证的远程攻击者可以利用这个泄露的敏感信息或崩溃过程链接库。
</t>
  </si>
  <si>
    <t>升级到PHP 5.5.36或更高版本。</t>
  </si>
  <si>
    <t>PHP 5.5.x &lt; 5.5.37 Multiple Vulnerabilities</t>
  </si>
  <si>
    <t>PHP 5.5.x &lt; 5.5.37 多个漏洞</t>
  </si>
  <si>
    <t xml:space="preserve">PHP在Web远程运行的服务器版本是5.5 x 5.5.37之前，会受多个漏洞的影响：
1、（cve-2015-8874）拒绝服务漏洞存在于这个gdImageFillToBorder() 函数中，攻击者通过图片伪造上传和获取。
2、（cve-2016-5766）整数溢出存在于文件扩展/ GD / libgd / gd_gd2 _gd2getheader() C函数。由于用户提供的输入的不适当的验证。未经身份验证的远程攻击者可以利用这个来导致拒绝服务条件或执行任意代码。
3、（cve-2016-5767）整数溢出条件存在于EXT / GD / libgd / GD下的gdimagepalettetotruecolor()函数。由于用户提供的输入不当的验证。未经身份验证的远程攻击者可以利用此导致拒绝服务条件或执行任意代码。
4、（cve-2016-5768）双错误_php_mb_regex_ereg_replace_exec()函数在文件EXT / mbstring / php_mbregex C，回调失败函数的执行。未经身份验证的远程攻击者可以利用这个来执行任意代码。
5、（cve-2016-5769）整数溢出条件存在于EXT / mcrypt / mcrypt文件内。由于用户提供输入不当的验证处理数据值时的。未经身份验证的远程攻击者可以利用这个来导致拒绝服务条件或执行任意代码。
6、
</t>
  </si>
  <si>
    <t>升级到PHP 5.5 x或更高版本。</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</si>
</sst>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39">
    <font>
      <sz val="11"/>
      <color theme="1"/>
      <name val="宋体"/>
      <charset val="134"/>
      <scheme val="minor"/>
    </font>
    <font>
      <sz val="11"/>
      <color theme="1"/>
      <name val="宋体"/>
      <family val="2"/>
      <charset val="134"/>
      <scheme val="minor"/>
    </font>
    <font>
      <sz val="11"/>
      <color theme="1"/>
      <name val="宋体"/>
      <family val="2"/>
      <charset val="134"/>
      <scheme val="minor"/>
    </font>
    <font>
      <sz val="9"/>
      <name val="宋体"/>
      <family val="3"/>
      <charset val="134"/>
    </font>
    <font>
      <sz val="12"/>
      <name val="宋体"/>
      <family val="3"/>
      <charset val="134"/>
    </font>
    <font>
      <sz val="11"/>
      <color theme="1"/>
      <name val="宋体"/>
      <family val="3"/>
      <charset val="134"/>
      <scheme val="minor"/>
    </font>
    <font>
      <sz val="10"/>
      <color theme="1"/>
      <name val="宋体"/>
      <family val="3"/>
      <charset val="134"/>
      <scheme val="minor"/>
    </font>
    <font>
      <b/>
      <sz val="12"/>
      <name val="仿宋"/>
      <family val="3"/>
      <charset val="134"/>
    </font>
    <font>
      <sz val="9"/>
      <name val="宋体"/>
      <family val="3"/>
      <charset val="134"/>
      <scheme val="minor"/>
    </font>
    <font>
      <b/>
      <sz val="10"/>
      <name val="宋体"/>
      <family val="3"/>
      <charset val="134"/>
      <scheme val="minor"/>
    </font>
    <font>
      <sz val="10"/>
      <color rgb="FFFF0000"/>
      <name val="宋体"/>
      <family val="3"/>
      <charset val="134"/>
      <scheme val="minor"/>
    </font>
    <font>
      <sz val="10"/>
      <name val="宋体"/>
      <family val="3"/>
      <charset val="134"/>
      <scheme val="minor"/>
    </font>
    <font>
      <b/>
      <sz val="10"/>
      <color rgb="FFFF0000"/>
      <name val="宋体"/>
      <family val="3"/>
      <charset val="134"/>
      <scheme val="minor"/>
    </font>
    <font>
      <sz val="10"/>
      <color rgb="FF00B050"/>
      <name val="宋体"/>
      <family val="3"/>
      <charset val="134"/>
      <scheme val="minor"/>
    </font>
    <font>
      <sz val="9"/>
      <name val="宋体"/>
      <family val="3"/>
      <charset val="134"/>
      <scheme val="minor"/>
    </font>
    <font>
      <sz val="9"/>
      <name val="宋体"/>
      <family val="2"/>
      <charset val="134"/>
      <scheme val="minor"/>
    </font>
    <font>
      <b/>
      <sz val="11"/>
      <color theme="1"/>
      <name val="宋体"/>
      <family val="3"/>
      <charset val="134"/>
      <scheme val="minor"/>
    </font>
    <font>
      <sz val="18"/>
      <color theme="9" tint="-0.249977111117893"/>
      <name val="宋体"/>
      <family val="3"/>
      <charset val="134"/>
      <scheme val="minor"/>
    </font>
    <font>
      <b/>
      <sz val="12"/>
      <color rgb="FF000000"/>
      <name val="仿宋"/>
      <family val="3"/>
      <charset val="134"/>
    </font>
    <font>
      <b/>
      <sz val="12"/>
      <name val="Arial Unicode MS"/>
      <family val="2"/>
      <charset val="134"/>
    </font>
    <font>
      <b/>
      <sz val="11"/>
      <color theme="1"/>
      <name val="Arial Unicode MS"/>
      <family val="2"/>
      <charset val="134"/>
    </font>
    <font>
      <sz val="9"/>
      <color rgb="FF222222"/>
      <name val="Arial"/>
      <family val="2"/>
    </font>
    <font>
      <sz val="11"/>
      <color rgb="FF000000"/>
      <name val="宋体"/>
      <family val="3"/>
      <charset val="134"/>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006100"/>
      <name val="宋体"/>
      <family val="2"/>
      <charset val="134"/>
      <scheme val="minor"/>
    </font>
    <font>
      <sz val="11"/>
      <color rgb="FF9C0006"/>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sz val="11"/>
      <color rgb="FFFF000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s>
  <fills count="36">
    <fill>
      <patternFill patternType="none"/>
    </fill>
    <fill>
      <patternFill patternType="gray125"/>
    </fill>
    <fill>
      <patternFill patternType="solid">
        <fgColor indexed="22"/>
        <bgColor indexed="64"/>
      </patternFill>
    </fill>
    <fill>
      <patternFill patternType="solid">
        <fgColor theme="0" tint="-0.249977111117893"/>
        <bgColor indexed="64"/>
      </patternFill>
    </fill>
    <fill>
      <patternFill patternType="solid">
        <fgColor theme="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25">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8">
    <xf numFmtId="0" fontId="0" fillId="0" borderId="0">
      <alignment vertical="center"/>
    </xf>
    <xf numFmtId="0" fontId="4" fillId="0" borderId="0">
      <alignment vertical="center"/>
    </xf>
    <xf numFmtId="0" fontId="4" fillId="0" borderId="0">
      <alignment vertical="center"/>
    </xf>
    <xf numFmtId="0" fontId="5" fillId="0" borderId="0">
      <alignment vertical="center"/>
    </xf>
    <xf numFmtId="0" fontId="5" fillId="0" borderId="0">
      <alignment vertical="center"/>
    </xf>
    <xf numFmtId="0" fontId="2" fillId="0" borderId="0">
      <alignment vertical="center"/>
    </xf>
    <xf numFmtId="0" fontId="23" fillId="0" borderId="0" applyNumberFormat="0" applyFill="0" applyBorder="0" applyAlignment="0" applyProtection="0">
      <alignment vertical="center"/>
    </xf>
    <xf numFmtId="0" fontId="24" fillId="0" borderId="16" applyNumberFormat="0" applyFill="0" applyAlignment="0" applyProtection="0">
      <alignment vertical="center"/>
    </xf>
    <xf numFmtId="0" fontId="25" fillId="0" borderId="17" applyNumberFormat="0" applyFill="0" applyAlignment="0" applyProtection="0">
      <alignment vertical="center"/>
    </xf>
    <xf numFmtId="0" fontId="26" fillId="0" borderId="18" applyNumberFormat="0" applyFill="0" applyAlignment="0" applyProtection="0">
      <alignment vertical="center"/>
    </xf>
    <xf numFmtId="0" fontId="26" fillId="0" borderId="0" applyNumberFormat="0" applyFill="0" applyBorder="0" applyAlignment="0" applyProtection="0">
      <alignment vertical="center"/>
    </xf>
    <xf numFmtId="0" fontId="27" fillId="5" borderId="0" applyNumberFormat="0" applyBorder="0" applyAlignment="0" applyProtection="0">
      <alignment vertical="center"/>
    </xf>
    <xf numFmtId="0" fontId="28" fillId="6" borderId="0" applyNumberFormat="0" applyBorder="0" applyAlignment="0" applyProtection="0">
      <alignment vertical="center"/>
    </xf>
    <xf numFmtId="0" fontId="29" fillId="7" borderId="0" applyNumberFormat="0" applyBorder="0" applyAlignment="0" applyProtection="0">
      <alignment vertical="center"/>
    </xf>
    <xf numFmtId="0" fontId="30" fillId="8" borderId="19" applyNumberFormat="0" applyAlignment="0" applyProtection="0">
      <alignment vertical="center"/>
    </xf>
    <xf numFmtId="0" fontId="31" fillId="9" borderId="20" applyNumberFormat="0" applyAlignment="0" applyProtection="0">
      <alignment vertical="center"/>
    </xf>
    <xf numFmtId="0" fontId="32" fillId="9" borderId="19" applyNumberFormat="0" applyAlignment="0" applyProtection="0">
      <alignment vertical="center"/>
    </xf>
    <xf numFmtId="0" fontId="33" fillId="0" borderId="21" applyNumberFormat="0" applyFill="0" applyAlignment="0" applyProtection="0">
      <alignment vertical="center"/>
    </xf>
    <xf numFmtId="0" fontId="34" fillId="10" borderId="22" applyNumberFormat="0" applyAlignment="0" applyProtection="0">
      <alignment vertical="center"/>
    </xf>
    <xf numFmtId="0" fontId="35" fillId="0" borderId="0" applyNumberFormat="0" applyFill="0" applyBorder="0" applyAlignment="0" applyProtection="0">
      <alignment vertical="center"/>
    </xf>
    <xf numFmtId="0" fontId="36" fillId="0" borderId="0" applyNumberFormat="0" applyFill="0" applyBorder="0" applyAlignment="0" applyProtection="0">
      <alignment vertical="center"/>
    </xf>
    <xf numFmtId="0" fontId="37" fillId="0" borderId="24" applyNumberFormat="0" applyFill="0" applyAlignment="0" applyProtection="0">
      <alignment vertical="center"/>
    </xf>
    <xf numFmtId="0" fontId="38" fillId="12" borderId="0" applyNumberFormat="0" applyBorder="0" applyAlignment="0" applyProtection="0">
      <alignment vertical="center"/>
    </xf>
    <xf numFmtId="0" fontId="1" fillId="13" borderId="0" applyNumberFormat="0" applyBorder="0" applyAlignment="0" applyProtection="0">
      <alignment vertical="center"/>
    </xf>
    <xf numFmtId="0" fontId="1" fillId="14" borderId="0" applyNumberFormat="0" applyBorder="0" applyAlignment="0" applyProtection="0">
      <alignment vertical="center"/>
    </xf>
    <xf numFmtId="0" fontId="38" fillId="15" borderId="0" applyNumberFormat="0" applyBorder="0" applyAlignment="0" applyProtection="0">
      <alignment vertical="center"/>
    </xf>
    <xf numFmtId="0" fontId="38" fillId="16" borderId="0" applyNumberFormat="0" applyBorder="0" applyAlignment="0" applyProtection="0">
      <alignment vertical="center"/>
    </xf>
    <xf numFmtId="0" fontId="1" fillId="17" borderId="0" applyNumberFormat="0" applyBorder="0" applyAlignment="0" applyProtection="0">
      <alignment vertical="center"/>
    </xf>
    <xf numFmtId="0" fontId="1" fillId="18" borderId="0" applyNumberFormat="0" applyBorder="0" applyAlignment="0" applyProtection="0">
      <alignment vertical="center"/>
    </xf>
    <xf numFmtId="0" fontId="38" fillId="19" borderId="0" applyNumberFormat="0" applyBorder="0" applyAlignment="0" applyProtection="0">
      <alignment vertical="center"/>
    </xf>
    <xf numFmtId="0" fontId="38" fillId="20" borderId="0" applyNumberFormat="0" applyBorder="0" applyAlignment="0" applyProtection="0">
      <alignment vertical="center"/>
    </xf>
    <xf numFmtId="0" fontId="1" fillId="21" borderId="0" applyNumberFormat="0" applyBorder="0" applyAlignment="0" applyProtection="0">
      <alignment vertical="center"/>
    </xf>
    <xf numFmtId="0" fontId="1" fillId="22" borderId="0" applyNumberFormat="0" applyBorder="0" applyAlignment="0" applyProtection="0">
      <alignment vertical="center"/>
    </xf>
    <xf numFmtId="0" fontId="38" fillId="23" borderId="0" applyNumberFormat="0" applyBorder="0" applyAlignment="0" applyProtection="0">
      <alignment vertical="center"/>
    </xf>
    <xf numFmtId="0" fontId="38" fillId="24" borderId="0" applyNumberFormat="0" applyBorder="0" applyAlignment="0" applyProtection="0">
      <alignment vertical="center"/>
    </xf>
    <xf numFmtId="0" fontId="1" fillId="25" borderId="0" applyNumberFormat="0" applyBorder="0" applyAlignment="0" applyProtection="0">
      <alignment vertical="center"/>
    </xf>
    <xf numFmtId="0" fontId="1" fillId="26" borderId="0" applyNumberFormat="0" applyBorder="0" applyAlignment="0" applyProtection="0">
      <alignment vertical="center"/>
    </xf>
    <xf numFmtId="0" fontId="38" fillId="27" borderId="0" applyNumberFormat="0" applyBorder="0" applyAlignment="0" applyProtection="0">
      <alignment vertical="center"/>
    </xf>
    <xf numFmtId="0" fontId="38" fillId="28" borderId="0" applyNumberFormat="0" applyBorder="0" applyAlignment="0" applyProtection="0">
      <alignment vertical="center"/>
    </xf>
    <xf numFmtId="0" fontId="1" fillId="29" borderId="0" applyNumberFormat="0" applyBorder="0" applyAlignment="0" applyProtection="0">
      <alignment vertical="center"/>
    </xf>
    <xf numFmtId="0" fontId="1" fillId="30" borderId="0" applyNumberFormat="0" applyBorder="0" applyAlignment="0" applyProtection="0">
      <alignment vertical="center"/>
    </xf>
    <xf numFmtId="0" fontId="38" fillId="31" borderId="0" applyNumberFormat="0" applyBorder="0" applyAlignment="0" applyProtection="0">
      <alignment vertical="center"/>
    </xf>
    <xf numFmtId="0" fontId="38" fillId="32" borderId="0" applyNumberFormat="0" applyBorder="0" applyAlignment="0" applyProtection="0">
      <alignment vertical="center"/>
    </xf>
    <xf numFmtId="0" fontId="1" fillId="33" borderId="0" applyNumberFormat="0" applyBorder="0" applyAlignment="0" applyProtection="0">
      <alignment vertical="center"/>
    </xf>
    <xf numFmtId="0" fontId="1" fillId="34" borderId="0" applyNumberFormat="0" applyBorder="0" applyAlignment="0" applyProtection="0">
      <alignment vertical="center"/>
    </xf>
    <xf numFmtId="0" fontId="38" fillId="35" borderId="0" applyNumberFormat="0" applyBorder="0" applyAlignment="0" applyProtection="0">
      <alignment vertical="center"/>
    </xf>
    <xf numFmtId="0" fontId="1" fillId="0" borderId="0">
      <alignment vertical="center"/>
    </xf>
    <xf numFmtId="0" fontId="1" fillId="11" borderId="23" applyNumberFormat="0" applyFont="0" applyAlignment="0" applyProtection="0">
      <alignment vertical="center"/>
    </xf>
  </cellStyleXfs>
  <cellXfs count="61">
    <xf numFmtId="0" fontId="0" fillId="0" borderId="0" xfId="0">
      <alignment vertical="center"/>
    </xf>
    <xf numFmtId="0" fontId="6" fillId="0" borderId="1" xfId="3" applyFont="1" applyBorder="1" applyAlignment="1">
      <alignment horizontal="left" vertical="center" wrapText="1"/>
    </xf>
    <xf numFmtId="0" fontId="0" fillId="0" borderId="1" xfId="0" applyBorder="1" applyAlignment="1">
      <alignment horizontal="center" vertical="center" wrapText="1"/>
    </xf>
    <xf numFmtId="0" fontId="7" fillId="2" borderId="1" xfId="3" applyFont="1" applyFill="1" applyBorder="1" applyAlignment="1">
      <alignment horizontal="center" vertical="center" wrapText="1"/>
    </xf>
    <xf numFmtId="0" fontId="5" fillId="0" borderId="1" xfId="0" applyFont="1" applyBorder="1" applyAlignment="1">
      <alignment horizontal="center" vertical="center" wrapText="1"/>
    </xf>
    <xf numFmtId="0" fontId="9" fillId="0" borderId="1" xfId="3" applyFont="1" applyBorder="1" applyAlignment="1">
      <alignment horizontal="center" vertical="center" wrapText="1"/>
    </xf>
    <xf numFmtId="0" fontId="10" fillId="0" borderId="1" xfId="3" applyFont="1" applyBorder="1" applyAlignment="1">
      <alignment horizontal="left" vertical="center" wrapText="1"/>
    </xf>
    <xf numFmtId="0" fontId="11" fillId="0" borderId="1" xfId="3" applyFont="1" applyBorder="1" applyAlignment="1">
      <alignment horizontal="center" vertical="center" wrapText="1"/>
    </xf>
    <xf numFmtId="0" fontId="12" fillId="0" borderId="1" xfId="3" applyFont="1" applyBorder="1" applyAlignment="1">
      <alignment horizontal="center" vertical="center" wrapText="1"/>
    </xf>
    <xf numFmtId="0" fontId="11" fillId="0" borderId="1" xfId="3" applyFont="1" applyBorder="1" applyAlignment="1">
      <alignment horizontal="left" vertical="center" wrapText="1"/>
    </xf>
    <xf numFmtId="0" fontId="13" fillId="0" borderId="1" xfId="3" applyFont="1" applyBorder="1" applyAlignment="1">
      <alignment horizontal="left" vertical="center" wrapText="1"/>
    </xf>
    <xf numFmtId="0" fontId="0" fillId="0" borderId="1" xfId="0" applyBorder="1" applyAlignment="1">
      <alignment horizontal="center" vertical="center"/>
    </xf>
    <xf numFmtId="0" fontId="6" fillId="0" borderId="1" xfId="3" quotePrefix="1" applyFont="1" applyBorder="1" applyAlignment="1">
      <alignment horizontal="left" vertical="center" wrapText="1"/>
    </xf>
    <xf numFmtId="0" fontId="16" fillId="0" borderId="0" xfId="3" applyFont="1" applyAlignment="1">
      <alignment horizontal="center" vertical="center"/>
    </xf>
    <xf numFmtId="0" fontId="5" fillId="0" borderId="0" xfId="3" applyAlignment="1">
      <alignment vertical="center"/>
    </xf>
    <xf numFmtId="0" fontId="5" fillId="0" borderId="0" xfId="3" applyAlignment="1">
      <alignment horizontal="center" vertical="center"/>
    </xf>
    <xf numFmtId="0" fontId="18" fillId="3" borderId="2" xfId="3" applyFont="1" applyFill="1" applyBorder="1" applyAlignment="1">
      <alignment horizontal="center" vertical="center" wrapText="1"/>
    </xf>
    <xf numFmtId="0" fontId="18" fillId="3" borderId="3" xfId="3" applyFont="1" applyFill="1" applyBorder="1" applyAlignment="1">
      <alignment horizontal="center" vertical="center" wrapText="1"/>
    </xf>
    <xf numFmtId="0" fontId="18" fillId="3" borderId="4" xfId="3" applyFont="1" applyFill="1" applyBorder="1" applyAlignment="1">
      <alignment horizontal="center" vertical="center" wrapText="1"/>
    </xf>
    <xf numFmtId="0" fontId="16" fillId="0" borderId="0" xfId="3" applyFont="1" applyAlignment="1">
      <alignment vertical="center"/>
    </xf>
    <xf numFmtId="0" fontId="16" fillId="0" borderId="5" xfId="3" applyFont="1" applyBorder="1" applyAlignment="1">
      <alignment horizontal="center" vertical="center" wrapText="1"/>
    </xf>
    <xf numFmtId="0" fontId="5" fillId="0" borderId="1" xfId="3" applyFont="1" applyBorder="1" applyAlignment="1">
      <alignment horizontal="center" vertical="center" wrapText="1"/>
    </xf>
    <xf numFmtId="0" fontId="5" fillId="0" borderId="1" xfId="3" applyBorder="1" applyAlignment="1">
      <alignment horizontal="center" vertical="center" wrapText="1"/>
    </xf>
    <xf numFmtId="9" fontId="5" fillId="0" borderId="6" xfId="3" applyNumberFormat="1" applyBorder="1" applyAlignment="1">
      <alignment horizontal="center" vertical="center" wrapText="1"/>
    </xf>
    <xf numFmtId="0" fontId="16" fillId="0" borderId="7" xfId="3" applyFont="1" applyBorder="1" applyAlignment="1">
      <alignment horizontal="center" vertical="center" wrapText="1"/>
    </xf>
    <xf numFmtId="0" fontId="16" fillId="0" borderId="8" xfId="3" applyFont="1" applyBorder="1" applyAlignment="1">
      <alignment horizontal="center" vertical="center" wrapText="1"/>
    </xf>
    <xf numFmtId="0" fontId="5" fillId="0" borderId="8" xfId="3" applyFont="1" applyBorder="1" applyAlignment="1">
      <alignment horizontal="center" vertical="center" wrapText="1"/>
    </xf>
    <xf numFmtId="9" fontId="5" fillId="0" borderId="9" xfId="3" applyNumberFormat="1" applyBorder="1" applyAlignment="1">
      <alignment horizontal="center" vertical="center" wrapText="1"/>
    </xf>
    <xf numFmtId="0" fontId="5" fillId="0" borderId="0" xfId="3" applyBorder="1" applyAlignment="1">
      <alignment horizontal="center" vertical="center" wrapText="1"/>
    </xf>
    <xf numFmtId="0" fontId="5" fillId="0" borderId="0" xfId="3" applyBorder="1" applyAlignment="1">
      <alignment vertical="center"/>
    </xf>
    <xf numFmtId="0" fontId="16" fillId="0" borderId="0" xfId="3" applyFont="1" applyBorder="1" applyAlignment="1">
      <alignment horizontal="center" vertical="center"/>
    </xf>
    <xf numFmtId="0" fontId="6" fillId="0" borderId="1" xfId="0" applyFont="1" applyBorder="1" applyAlignment="1">
      <alignment horizontal="center" vertical="center" wrapText="1"/>
    </xf>
    <xf numFmtId="0" fontId="6" fillId="0" borderId="1" xfId="0" applyFont="1" applyBorder="1" applyAlignment="1">
      <alignment vertical="center" wrapText="1"/>
    </xf>
    <xf numFmtId="0" fontId="6" fillId="0" borderId="1" xfId="0" applyFont="1" applyBorder="1" applyAlignment="1">
      <alignment horizontal="left" vertical="center" wrapText="1"/>
    </xf>
    <xf numFmtId="0" fontId="0" fillId="0" borderId="0" xfId="0" applyBorder="1" applyAlignment="1">
      <alignment vertical="center" wrapText="1"/>
    </xf>
    <xf numFmtId="0" fontId="7" fillId="2" borderId="0" xfId="3" applyFont="1" applyFill="1" applyBorder="1" applyAlignment="1">
      <alignment horizontal="center" vertical="center" wrapText="1"/>
    </xf>
    <xf numFmtId="0" fontId="0" fillId="0" borderId="0" xfId="0" applyBorder="1" applyAlignment="1">
      <alignment horizontal="center" vertical="center"/>
    </xf>
    <xf numFmtId="0" fontId="0" fillId="0" borderId="0" xfId="0" applyBorder="1" applyAlignment="1">
      <alignment horizontal="center" vertical="center" wrapText="1"/>
    </xf>
    <xf numFmtId="0" fontId="0" fillId="0" borderId="0" xfId="0" applyBorder="1">
      <alignment vertical="center"/>
    </xf>
    <xf numFmtId="0" fontId="6" fillId="0" borderId="0" xfId="3" applyNumberFormat="1" applyFont="1" applyBorder="1" applyAlignment="1">
      <alignment horizontal="center" vertical="center" wrapText="1"/>
    </xf>
    <xf numFmtId="0" fontId="6" fillId="4" borderId="1" xfId="3" applyFont="1" applyFill="1" applyBorder="1" applyAlignment="1">
      <alignment horizontal="left" vertical="center" wrapText="1"/>
    </xf>
    <xf numFmtId="0" fontId="0" fillId="0" borderId="0" xfId="0" applyAlignment="1">
      <alignment vertical="center" wrapText="1"/>
    </xf>
    <xf numFmtId="0" fontId="0" fillId="4" borderId="1" xfId="0" applyFill="1" applyBorder="1" applyAlignment="1">
      <alignment horizontal="center" vertical="center"/>
    </xf>
    <xf numFmtId="0" fontId="5" fillId="0" borderId="0" xfId="0" applyFont="1" applyBorder="1" applyAlignment="1">
      <alignment vertical="center" wrapText="1"/>
    </xf>
    <xf numFmtId="0" fontId="19" fillId="2" borderId="0" xfId="3" applyFont="1" applyFill="1" applyBorder="1" applyAlignment="1">
      <alignment horizontal="center" vertical="center" wrapText="1"/>
    </xf>
    <xf numFmtId="0" fontId="5" fillId="0" borderId="0" xfId="0" applyFont="1" applyBorder="1" applyAlignment="1">
      <alignment horizontal="center" vertical="center" wrapText="1"/>
    </xf>
    <xf numFmtId="0" fontId="6" fillId="0" borderId="1" xfId="3" applyFont="1" applyBorder="1" applyAlignment="1">
      <alignment horizontal="left" vertical="center" wrapText="1"/>
    </xf>
    <xf numFmtId="0" fontId="6" fillId="0" borderId="1" xfId="3" applyFont="1" applyBorder="1" applyAlignment="1">
      <alignment horizontal="center" vertical="center" wrapText="1"/>
    </xf>
    <xf numFmtId="0" fontId="0" fillId="0" borderId="1" xfId="0" applyFill="1" applyBorder="1" applyAlignment="1">
      <alignment horizontal="center" vertical="center"/>
    </xf>
    <xf numFmtId="0" fontId="21" fillId="0" borderId="1" xfId="0" applyFont="1" applyBorder="1" applyAlignment="1">
      <alignment vertical="center" wrapText="1"/>
    </xf>
    <xf numFmtId="0" fontId="0" fillId="0" borderId="1" xfId="0" applyBorder="1" applyAlignment="1">
      <alignment horizontal="left" vertical="center" wrapText="1"/>
    </xf>
    <xf numFmtId="0" fontId="6" fillId="0" borderId="1" xfId="3" applyFont="1" applyBorder="1" applyAlignment="1">
      <alignment horizontal="left" vertical="center" wrapText="1"/>
    </xf>
    <xf numFmtId="0" fontId="2" fillId="0" borderId="0" xfId="5">
      <alignment vertical="center"/>
    </xf>
    <xf numFmtId="0" fontId="1" fillId="0" borderId="0" xfId="46">
      <alignment vertical="center"/>
    </xf>
    <xf numFmtId="0" fontId="1" fillId="0" borderId="0" xfId="46" applyAlignment="1">
      <alignment vertical="center" wrapText="1"/>
    </xf>
    <xf numFmtId="0" fontId="17" fillId="0" borderId="13" xfId="3" applyFont="1" applyBorder="1" applyAlignment="1">
      <alignment horizontal="center" vertical="center" wrapText="1"/>
    </xf>
    <xf numFmtId="0" fontId="17" fillId="0" borderId="14" xfId="3" applyFont="1" applyBorder="1" applyAlignment="1">
      <alignment horizontal="center" vertical="center" wrapText="1"/>
    </xf>
    <xf numFmtId="0" fontId="17" fillId="0" borderId="15" xfId="3" applyFont="1" applyBorder="1" applyAlignment="1">
      <alignment horizontal="center" vertical="center" wrapText="1"/>
    </xf>
    <xf numFmtId="0" fontId="17" fillId="0" borderId="10" xfId="3" applyFont="1" applyBorder="1" applyAlignment="1">
      <alignment horizontal="center" vertical="center" wrapText="1"/>
    </xf>
    <xf numFmtId="0" fontId="17" fillId="0" borderId="11" xfId="3" applyFont="1" applyBorder="1" applyAlignment="1">
      <alignment horizontal="center" vertical="center" wrapText="1"/>
    </xf>
    <xf numFmtId="0" fontId="17" fillId="0" borderId="12" xfId="3" applyFont="1" applyBorder="1" applyAlignment="1">
      <alignment horizontal="center" vertical="center" wrapText="1"/>
    </xf>
  </cellXfs>
  <cellStyles count="48">
    <cellStyle name="20% - 着色 1" xfId="23" builtinId="30" customBuiltin="1"/>
    <cellStyle name="20% - 着色 2" xfId="27" builtinId="34" customBuiltin="1"/>
    <cellStyle name="20% - 着色 3" xfId="31" builtinId="38" customBuiltin="1"/>
    <cellStyle name="20% - 着色 4" xfId="35" builtinId="42" customBuiltin="1"/>
    <cellStyle name="20% - 着色 5" xfId="39" builtinId="46" customBuiltin="1"/>
    <cellStyle name="20% - 着色 6" xfId="43" builtinId="50" customBuiltin="1"/>
    <cellStyle name="40% - 着色 1" xfId="24" builtinId="31" customBuiltin="1"/>
    <cellStyle name="40% - 着色 2" xfId="28" builtinId="35" customBuiltin="1"/>
    <cellStyle name="40% - 着色 3" xfId="32" builtinId="39" customBuiltin="1"/>
    <cellStyle name="40% - 着色 4" xfId="36" builtinId="43" customBuiltin="1"/>
    <cellStyle name="40% - 着色 5" xfId="40" builtinId="47" customBuiltin="1"/>
    <cellStyle name="40% - 着色 6" xfId="44" builtinId="51" customBuiltin="1"/>
    <cellStyle name="60% - 着色 1" xfId="25" builtinId="32" customBuiltin="1"/>
    <cellStyle name="60% - 着色 2" xfId="29" builtinId="36" customBuiltin="1"/>
    <cellStyle name="60% - 着色 3" xfId="33" builtinId="40" customBuiltin="1"/>
    <cellStyle name="60% - 着色 4" xfId="37" builtinId="44" customBuiltin="1"/>
    <cellStyle name="60% - 着色 5" xfId="41" builtinId="48" customBuiltin="1"/>
    <cellStyle name="60% - 着色 6" xfId="45" builtinId="52" customBuiltin="1"/>
    <cellStyle name="标题" xfId="6" builtinId="15" customBuiltin="1"/>
    <cellStyle name="标题 1" xfId="7" builtinId="16" customBuiltin="1"/>
    <cellStyle name="标题 2" xfId="8" builtinId="17" customBuiltin="1"/>
    <cellStyle name="标题 3" xfId="9" builtinId="18" customBuiltin="1"/>
    <cellStyle name="标题 4" xfId="10" builtinId="19" customBuiltin="1"/>
    <cellStyle name="差" xfId="12" builtinId="27" customBuiltin="1"/>
    <cellStyle name="常规" xfId="0" builtinId="0"/>
    <cellStyle name="常规 2" xfId="1"/>
    <cellStyle name="常规 2 2" xfId="2"/>
    <cellStyle name="常规 3" xfId="3"/>
    <cellStyle name="常规 4" xfId="4"/>
    <cellStyle name="常规 5" xfId="5"/>
    <cellStyle name="常规 6" xfId="46"/>
    <cellStyle name="好" xfId="11" builtinId="26" customBuiltin="1"/>
    <cellStyle name="汇总" xfId="21" builtinId="25" customBuiltin="1"/>
    <cellStyle name="计算" xfId="16" builtinId="22" customBuiltin="1"/>
    <cellStyle name="检查单元格" xfId="18" builtinId="23" customBuiltin="1"/>
    <cellStyle name="解释性文本" xfId="20" builtinId="53" customBuiltin="1"/>
    <cellStyle name="警告文本" xfId="19" builtinId="11" customBuiltin="1"/>
    <cellStyle name="链接单元格" xfId="17" builtinId="24" customBuiltin="1"/>
    <cellStyle name="适中" xfId="13" builtinId="28" customBuiltin="1"/>
    <cellStyle name="输出" xfId="15" builtinId="21" customBuiltin="1"/>
    <cellStyle name="输入" xfId="14" builtinId="20" customBuiltin="1"/>
    <cellStyle name="着色 1" xfId="22" builtinId="29" customBuiltin="1"/>
    <cellStyle name="着色 2" xfId="26" builtinId="33" customBuiltin="1"/>
    <cellStyle name="着色 3" xfId="30" builtinId="37" customBuiltin="1"/>
    <cellStyle name="着色 4" xfId="34" builtinId="41" customBuiltin="1"/>
    <cellStyle name="着色 5" xfId="38" builtinId="45" customBuiltin="1"/>
    <cellStyle name="着色 6" xfId="42" builtinId="49" customBuiltin="1"/>
    <cellStyle name="注释 2" xfId="47"/>
  </cellStyles>
  <dxfs count="594">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ont>
        <color rgb="FF9C0006"/>
      </font>
      <fill>
        <patternFill>
          <bgColor rgb="FFFFC7CE"/>
        </patternFill>
      </fill>
    </dxf>
    <dxf>
      <font>
        <color rgb="FF9C0006"/>
      </font>
      <fill>
        <patternFill>
          <bgColor rgb="FFFFC7CE"/>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FF00"/>
        </patternFill>
      </fill>
    </dxf>
    <dxf>
      <font>
        <b/>
        <i val="0"/>
      </font>
      <fill>
        <patternFill>
          <bgColor rgb="FFFFC000"/>
        </patternFill>
      </fill>
    </dxf>
    <dxf>
      <font>
        <b/>
        <i val="0"/>
      </font>
      <fill>
        <patternFill>
          <bgColor rgb="FFFF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ont>
        <color rgb="FF9C0006"/>
      </font>
      <fill>
        <patternFill>
          <bgColor rgb="FFFFC7CE"/>
        </patternFill>
      </fill>
    </dxf>
    <dxf>
      <font>
        <color rgb="FF9C0006"/>
      </font>
      <fill>
        <patternFill>
          <bgColor rgb="FFFFC7CE"/>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FF00"/>
        </patternFill>
      </fill>
    </dxf>
    <dxf>
      <font>
        <b/>
        <i val="0"/>
      </font>
      <fill>
        <patternFill>
          <bgColor rgb="FFFFC000"/>
        </patternFill>
      </fill>
    </dxf>
    <dxf>
      <font>
        <b/>
        <i val="0"/>
      </font>
      <fill>
        <patternFill>
          <bgColor rgb="FFFF0000"/>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ont>
        <color rgb="FF9C0006"/>
      </font>
      <fill>
        <patternFill>
          <bgColor rgb="FFFFC7CE"/>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
      <fill>
        <patternFill>
          <bgColor rgb="FFFF0000"/>
        </patternFill>
      </fill>
    </dxf>
    <dxf>
      <fill>
        <patternFill>
          <bgColor theme="4"/>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zh-CN" altLang="en-US"/>
              <a:t>安全风险等级分布图</a:t>
            </a:r>
            <a:endParaRPr lang="en-US" altLang="zh-CN"/>
          </a:p>
        </c:rich>
      </c:tx>
      <c:layout>
        <c:manualLayout>
          <c:xMode val="edge"/>
          <c:yMode val="edge"/>
          <c:x val="0.28656398319725046"/>
          <c:y val="6.4814712846208905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zh-CN"/>
        </a:p>
      </c:txPr>
    </c:title>
    <c:autoTitleDeleted val="0"/>
    <c:plotArea>
      <c:layout/>
      <c:pieChart>
        <c:varyColors val="1"/>
        <c:ser>
          <c:idx val="0"/>
          <c:order val="0"/>
          <c:tx>
            <c:strRef>
              <c:f>安全风险等级分布!$F$7</c:f>
              <c:strCache>
                <c:ptCount val="1"/>
                <c:pt idx="0">
                  <c:v> 百分比</c:v>
                </c:pt>
              </c:strCache>
            </c:strRef>
          </c:tx>
          <c:dPt>
            <c:idx val="0"/>
            <c:bubble3D val="0"/>
            <c:spPr>
              <a:solidFill>
                <a:srgbClr val="C00000"/>
              </a:solidFill>
              <a:ln w="19050">
                <a:solidFill>
                  <a:schemeClr val="lt1"/>
                </a:solidFill>
              </a:ln>
              <a:effectLst/>
            </c:spPr>
            <c:extLst>
              <c:ext xmlns:c16="http://schemas.microsoft.com/office/drawing/2014/chart" uri="{C3380CC4-5D6E-409C-BE32-E72D297353CC}">
                <c16:uniqueId val="{00000001-8BC1-4E11-84B1-09D75B55F909}"/>
              </c:ext>
            </c:extLst>
          </c:dPt>
          <c:dPt>
            <c:idx val="1"/>
            <c:bubble3D val="0"/>
            <c:spPr>
              <a:solidFill>
                <a:schemeClr val="accent6"/>
              </a:solidFill>
              <a:ln w="19050">
                <a:solidFill>
                  <a:schemeClr val="lt1"/>
                </a:solidFill>
              </a:ln>
              <a:effectLst/>
            </c:spPr>
            <c:extLst>
              <c:ext xmlns:c16="http://schemas.microsoft.com/office/drawing/2014/chart" uri="{C3380CC4-5D6E-409C-BE32-E72D297353CC}">
                <c16:uniqueId val="{00000003-8BC1-4E11-84B1-09D75B55F909}"/>
              </c:ext>
            </c:extLst>
          </c:dPt>
          <c:dPt>
            <c:idx val="2"/>
            <c:bubble3D val="0"/>
            <c:spPr>
              <a:solidFill>
                <a:srgbClr val="92D050"/>
              </a:solidFill>
              <a:ln w="19050">
                <a:solidFill>
                  <a:schemeClr val="lt1"/>
                </a:solidFill>
              </a:ln>
              <a:effectLst/>
            </c:spPr>
            <c:extLst>
              <c:ext xmlns:c16="http://schemas.microsoft.com/office/drawing/2014/chart" uri="{C3380CC4-5D6E-409C-BE32-E72D297353CC}">
                <c16:uniqueId val="{00000005-8BC1-4E11-84B1-09D75B55F909}"/>
              </c:ext>
            </c:extLst>
          </c:dPt>
          <c:dLbls>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zh-CN"/>
              </a:p>
            </c:txPr>
            <c:dLblPos val="bestFit"/>
            <c:showLegendKey val="0"/>
            <c:showVal val="1"/>
            <c:showCatName val="0"/>
            <c:showSerName val="0"/>
            <c:showPercent val="0"/>
            <c:showBubbleSize val="0"/>
            <c:showLeaderLines val="1"/>
            <c:leaderLines>
              <c:spPr>
                <a:ln w="9525" cap="flat" cmpd="sng" algn="ctr">
                  <a:solidFill>
                    <a:schemeClr val="tx1">
                      <a:lumMod val="35000"/>
                      <a:lumOff val="65000"/>
                    </a:schemeClr>
                  </a:solidFill>
                  <a:round/>
                </a:ln>
                <a:effectLst/>
              </c:spPr>
            </c:leaderLines>
            <c:extLst>
              <c:ext xmlns:c15="http://schemas.microsoft.com/office/drawing/2012/chart" uri="{CE6537A1-D6FC-4f65-9D91-7224C49458BB}"/>
            </c:extLst>
          </c:dLbls>
          <c:cat>
            <c:strRef>
              <c:f>安全风险等级分布!$D$8:$D$10</c:f>
              <c:strCache>
                <c:ptCount val="3"/>
                <c:pt idx="0">
                  <c:v>高</c:v>
                </c:pt>
                <c:pt idx="1">
                  <c:v>中</c:v>
                </c:pt>
                <c:pt idx="2">
                  <c:v>低</c:v>
                </c:pt>
              </c:strCache>
            </c:strRef>
          </c:cat>
          <c:val>
            <c:numRef>
              <c:f>安全风险等级分布!$F$8:$F$10</c:f>
              <c:numCache>
                <c:formatCode>0%</c:formatCode>
                <c:ptCount val="3"/>
                <c:pt idx="0">
                  <c:v>0</c:v>
                </c:pt>
                <c:pt idx="1">
                  <c:v>0</c:v>
                </c:pt>
                <c:pt idx="2">
                  <c:v>1</c:v>
                </c:pt>
              </c:numCache>
            </c:numRef>
          </c:val>
          <c:extLst>
            <c:ext xmlns:c16="http://schemas.microsoft.com/office/drawing/2014/chart" uri="{C3380CC4-5D6E-409C-BE32-E72D297353CC}">
              <c16:uniqueId val="{00000006-8BC1-4E11-84B1-09D75B55F909}"/>
            </c:ext>
          </c:extLst>
        </c:ser>
        <c:dLbls>
          <c:showLegendKey val="0"/>
          <c:showVal val="0"/>
          <c:showCatName val="0"/>
          <c:showSerName val="0"/>
          <c:showPercent val="0"/>
          <c:showBubbleSize val="0"/>
          <c:showLeaderLines val="1"/>
        </c:dLbls>
        <c:firstSliceAng val="0"/>
      </c:pieChart>
      <c:spPr>
        <a:noFill/>
        <a:ln>
          <a:noFill/>
        </a:ln>
        <a:effectLst/>
      </c:spPr>
    </c:plotArea>
    <c:legend>
      <c:legendPos val="b"/>
      <c:layout>
        <c:manualLayout>
          <c:xMode val="edge"/>
          <c:yMode val="edge"/>
          <c:x val="0.40278958880139981"/>
          <c:y val="0.87557815689705432"/>
          <c:w val="0.17810477030253341"/>
          <c:h val="7.8125546806649182E-2"/>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zh-CN"/>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zh-CN"/>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8</xdr:col>
      <xdr:colOff>0</xdr:colOff>
      <xdr:row>5</xdr:row>
      <xdr:rowOff>0</xdr:rowOff>
    </xdr:from>
    <xdr:to>
      <xdr:col>14</xdr:col>
      <xdr:colOff>9525</xdr:colOff>
      <xdr:row>11</xdr:row>
      <xdr:rowOff>0</xdr:rowOff>
    </xdr:to>
    <xdr:graphicFrame macro="">
      <xdr:nvGraphicFramePr>
        <xdr:cNvPr id="2" name="图表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0</xdr:colOff>
          <xdr:row>1</xdr:row>
          <xdr:rowOff>0</xdr:rowOff>
        </xdr:from>
        <xdr:to>
          <xdr:col>4</xdr:col>
          <xdr:colOff>9525</xdr:colOff>
          <xdr:row>7</xdr:row>
          <xdr:rowOff>9525</xdr:rowOff>
        </xdr:to>
        <xdr:sp macro="" textlink="">
          <xdr:nvSpPr>
            <xdr:cNvPr id="3073" name="Button 1" hidden="1">
              <a:extLst>
                <a:ext uri="{63B3BB69-23CF-44E3-9099-C40C66FF867C}">
                  <a14:compatExt spid="_x0000_s3073"/>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初步处理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xdr:col>
          <xdr:colOff>0</xdr:colOff>
          <xdr:row>7</xdr:row>
          <xdr:rowOff>161925</xdr:rowOff>
        </xdr:from>
        <xdr:to>
          <xdr:col>4</xdr:col>
          <xdr:colOff>9525</xdr:colOff>
          <xdr:row>14</xdr:row>
          <xdr:rowOff>9525</xdr:rowOff>
        </xdr:to>
        <xdr:sp macro="" textlink="">
          <xdr:nvSpPr>
            <xdr:cNvPr id="3074" name="Button 2" hidden="1">
              <a:extLst>
                <a:ext uri="{63B3BB69-23CF-44E3-9099-C40C66FF867C}">
                  <a14:compatExt spid="_x0000_s3074"/>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zh-CN" altLang="en-US" sz="1100" b="0" i="0" u="none" strike="noStrike" baseline="0">
                  <a:solidFill>
                    <a:srgbClr val="000000"/>
                  </a:solidFill>
                  <a:latin typeface="宋体"/>
                  <a:ea typeface="宋体"/>
                </a:rPr>
                <a:t>继续运行</a:t>
              </a:r>
            </a:p>
            <a:p>
              <a:pPr algn="ctr" rtl="0">
                <a:defRPr sz="1000"/>
              </a:pPr>
              <a:r>
                <a:rPr lang="zh-CN" altLang="en-US" sz="1100" b="0" i="0" u="none" strike="noStrike" baseline="0">
                  <a:solidFill>
                    <a:srgbClr val="000000"/>
                  </a:solidFill>
                  <a:latin typeface="宋体"/>
                  <a:ea typeface="宋体"/>
                </a:rPr>
                <a:t>（中文漏洞补充完成后</a:t>
              </a:r>
            </a:p>
            <a:p>
              <a:pPr algn="ctr" rtl="0">
                <a:defRPr sz="1000"/>
              </a:pPr>
              <a:r>
                <a:rPr lang="zh-CN" altLang="en-US" sz="1100" b="0" i="0" u="none" strike="noStrike" baseline="0">
                  <a:solidFill>
                    <a:srgbClr val="000000"/>
                  </a:solidFill>
                  <a:latin typeface="宋体"/>
                  <a:ea typeface="宋体"/>
                </a:rPr>
                <a:t>请点击此按钮）</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www.cnnvd.org.cn/vulnerability/show/cv_cnnvdid/CNNVD-201302-458" TargetMode="Externa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4.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dimension ref="B3:H83"/>
  <sheetViews>
    <sheetView workbookViewId="0">
      <selection activeCell="C16" sqref="C16"/>
    </sheetView>
  </sheetViews>
  <sheetFormatPr defaultRowHeight="13.5"/>
  <cols>
    <col min="1" max="1" width="9" style="38"/>
    <col min="2" max="3" width="14.625" style="37" customWidth="1"/>
    <col min="4" max="7" width="9" style="36"/>
    <col min="8" max="8" width="11" style="38" customWidth="1"/>
    <col min="9" max="9" width="11.375" style="38" customWidth="1"/>
    <col min="10" max="16384" width="9" style="38"/>
  </cols>
  <sheetData>
    <row r="3" spans="2:8" ht="45" customHeight="1">
      <c r="B3" s="55" t="s">
        <v>38</v>
      </c>
      <c r="C3" s="56"/>
      <c r="D3" s="56"/>
      <c r="E3" s="56"/>
      <c r="F3" s="56"/>
      <c r="G3" s="56"/>
      <c r="H3" s="57"/>
    </row>
    <row r="4" spans="2:8" ht="14.25">
      <c r="B4" s="3" t="s">
        <v>5</v>
      </c>
      <c r="C4" s="3" t="s">
        <v>30</v>
      </c>
      <c r="D4" s="3" t="s">
        <v>24</v>
      </c>
      <c r="E4" s="3" t="s">
        <v>25</v>
      </c>
      <c r="F4" s="3" t="s">
        <v>26</v>
      </c>
      <c r="G4" s="3" t="s">
        <v>27</v>
      </c>
      <c r="H4" s="3" t="s">
        <v>29</v>
      </c>
    </row>
    <row r="5" spans="2:8">
      <c r="B5" s="4" t="s">
        <v>4</v>
      </c>
      <c r="C5" s="4" t="s">
        <v>31</v>
      </c>
      <c r="D5" s="11">
        <f t="array" ref="D5">SUM((扫描结果!B:B=B5)*(扫描结果!E:E="紧急"))</f>
        <v>0</v>
      </c>
      <c r="E5" s="11">
        <f t="array" ref="E5">SUM((扫描结果!B:B=B5)*(扫描结果!E:E="高"))</f>
        <v>0</v>
      </c>
      <c r="F5" s="11">
        <f t="array" ref="F5">SUM((扫描结果!B:B=B5)*(扫描结果!E:E="中"))</f>
        <v>0</v>
      </c>
      <c r="G5" s="11">
        <f t="shared" ref="G5" si="0">SUM(D5:F5)</f>
        <v>0</v>
      </c>
      <c r="H5" s="11" t="str">
        <f>IF(D5*25+E5*5+F5&gt;24,"高",IF(D5*25+E5*5+F5&gt;4,"中","低"))</f>
        <v>低</v>
      </c>
    </row>
    <row r="6" spans="2:8">
      <c r="B6" s="39"/>
      <c r="C6" s="45"/>
      <c r="H6" s="36"/>
    </row>
    <row r="7" spans="2:8">
      <c r="B7" s="39"/>
      <c r="C7" s="45"/>
      <c r="H7" s="36"/>
    </row>
    <row r="8" spans="2:8">
      <c r="B8" s="39"/>
      <c r="C8" s="45"/>
      <c r="H8" s="36"/>
    </row>
    <row r="9" spans="2:8">
      <c r="B9" s="39"/>
      <c r="C9" s="45"/>
      <c r="H9" s="36"/>
    </row>
    <row r="10" spans="2:8">
      <c r="B10" s="39"/>
      <c r="C10" s="45"/>
      <c r="H10" s="36"/>
    </row>
    <row r="11" spans="2:8">
      <c r="B11" s="39"/>
      <c r="C11" s="45"/>
      <c r="H11" s="36"/>
    </row>
    <row r="12" spans="2:8">
      <c r="B12" s="39"/>
      <c r="C12" s="39"/>
    </row>
    <row r="13" spans="2:8">
      <c r="B13" s="39"/>
      <c r="C13" s="39"/>
    </row>
    <row r="14" spans="2:8">
      <c r="B14" s="39"/>
      <c r="C14" s="39"/>
    </row>
    <row r="15" spans="2:8">
      <c r="B15" s="39"/>
      <c r="C15" s="39"/>
    </row>
    <row r="16" spans="2:8">
      <c r="B16" s="39"/>
      <c r="C16" s="39"/>
    </row>
    <row r="17" spans="2:3">
      <c r="B17" s="39"/>
      <c r="C17" s="39"/>
    </row>
    <row r="18" spans="2:3">
      <c r="B18" s="39"/>
      <c r="C18" s="39"/>
    </row>
    <row r="19" spans="2:3">
      <c r="B19" s="39"/>
      <c r="C19" s="39"/>
    </row>
    <row r="20" spans="2:3">
      <c r="B20" s="39"/>
      <c r="C20" s="39"/>
    </row>
    <row r="21" spans="2:3">
      <c r="B21" s="39"/>
      <c r="C21" s="39"/>
    </row>
    <row r="22" spans="2:3">
      <c r="B22" s="38"/>
      <c r="C22" s="38"/>
    </row>
    <row r="23" spans="2:3">
      <c r="B23" s="38"/>
      <c r="C23" s="38"/>
    </row>
    <row r="24" spans="2:3">
      <c r="B24" s="38"/>
      <c r="C24" s="38"/>
    </row>
    <row r="25" spans="2:3">
      <c r="B25" s="38"/>
      <c r="C25" s="38"/>
    </row>
    <row r="26" spans="2:3">
      <c r="B26" s="38"/>
      <c r="C26" s="38"/>
    </row>
    <row r="27" spans="2:3">
      <c r="B27" s="38"/>
      <c r="C27" s="38"/>
    </row>
    <row r="28" spans="2:3">
      <c r="B28" s="38"/>
      <c r="C28" s="38"/>
    </row>
    <row r="29" spans="2:3">
      <c r="B29" s="38"/>
      <c r="C29" s="38"/>
    </row>
    <row r="30" spans="2:3">
      <c r="B30" s="38"/>
      <c r="C30" s="38"/>
    </row>
    <row r="31" spans="2:3">
      <c r="B31" s="38"/>
      <c r="C31" s="38"/>
    </row>
    <row r="32" spans="2:3">
      <c r="B32" s="38"/>
      <c r="C32" s="38"/>
    </row>
    <row r="33" spans="2:3">
      <c r="B33" s="38"/>
      <c r="C33" s="38"/>
    </row>
    <row r="34" spans="2:3">
      <c r="B34" s="38"/>
      <c r="C34" s="38"/>
    </row>
    <row r="35" spans="2:3">
      <c r="B35" s="38"/>
      <c r="C35" s="38"/>
    </row>
    <row r="36" spans="2:3">
      <c r="B36" s="38"/>
      <c r="C36" s="38"/>
    </row>
    <row r="37" spans="2:3">
      <c r="B37" s="38"/>
      <c r="C37" s="38"/>
    </row>
    <row r="38" spans="2:3">
      <c r="B38" s="38"/>
      <c r="C38" s="38"/>
    </row>
    <row r="39" spans="2:3">
      <c r="B39" s="38"/>
      <c r="C39" s="38"/>
    </row>
    <row r="40" spans="2:3">
      <c r="B40" s="38"/>
      <c r="C40" s="38"/>
    </row>
    <row r="41" spans="2:3">
      <c r="B41" s="38"/>
      <c r="C41" s="38"/>
    </row>
    <row r="42" spans="2:3">
      <c r="B42" s="38"/>
      <c r="C42" s="38"/>
    </row>
    <row r="43" spans="2:3">
      <c r="B43" s="38"/>
      <c r="C43" s="38"/>
    </row>
    <row r="44" spans="2:3">
      <c r="B44" s="38"/>
      <c r="C44" s="38"/>
    </row>
    <row r="45" spans="2:3">
      <c r="B45" s="38"/>
      <c r="C45" s="38"/>
    </row>
    <row r="46" spans="2:3">
      <c r="B46" s="38"/>
      <c r="C46" s="38"/>
    </row>
    <row r="47" spans="2:3">
      <c r="B47" s="38"/>
      <c r="C47" s="38"/>
    </row>
    <row r="48" spans="2:3">
      <c r="B48" s="38"/>
      <c r="C48" s="38"/>
    </row>
    <row r="49" spans="2:3">
      <c r="B49" s="38"/>
      <c r="C49" s="38"/>
    </row>
    <row r="50" spans="2:3">
      <c r="B50" s="38"/>
      <c r="C50" s="38"/>
    </row>
    <row r="51" spans="2:3">
      <c r="B51" s="38"/>
      <c r="C51" s="38"/>
    </row>
    <row r="52" spans="2:3">
      <c r="B52" s="38"/>
      <c r="C52" s="38"/>
    </row>
    <row r="53" spans="2:3">
      <c r="B53" s="38"/>
      <c r="C53" s="38"/>
    </row>
    <row r="54" spans="2:3">
      <c r="B54" s="38"/>
      <c r="C54" s="38"/>
    </row>
    <row r="55" spans="2:3">
      <c r="B55" s="38"/>
      <c r="C55" s="38"/>
    </row>
    <row r="56" spans="2:3">
      <c r="B56" s="38"/>
      <c r="C56" s="38"/>
    </row>
    <row r="57" spans="2:3">
      <c r="B57" s="38"/>
      <c r="C57" s="38"/>
    </row>
    <row r="58" spans="2:3">
      <c r="B58" s="38"/>
      <c r="C58" s="38"/>
    </row>
    <row r="59" spans="2:3">
      <c r="B59" s="38"/>
      <c r="C59" s="38"/>
    </row>
    <row r="60" spans="2:3">
      <c r="B60" s="38"/>
      <c r="C60" s="38"/>
    </row>
    <row r="61" spans="2:3">
      <c r="B61" s="38"/>
      <c r="C61" s="38"/>
    </row>
    <row r="62" spans="2:3">
      <c r="B62" s="38"/>
      <c r="C62" s="38"/>
    </row>
    <row r="63" spans="2:3">
      <c r="B63" s="38"/>
      <c r="C63" s="38"/>
    </row>
    <row r="64" spans="2:3">
      <c r="B64" s="38"/>
      <c r="C64" s="38"/>
    </row>
    <row r="65" spans="2:3">
      <c r="B65" s="38"/>
      <c r="C65" s="38"/>
    </row>
    <row r="66" spans="2:3">
      <c r="B66" s="38"/>
      <c r="C66" s="38"/>
    </row>
    <row r="67" spans="2:3">
      <c r="B67" s="38"/>
      <c r="C67" s="38"/>
    </row>
    <row r="68" spans="2:3">
      <c r="B68" s="38"/>
      <c r="C68" s="38"/>
    </row>
    <row r="69" spans="2:3">
      <c r="B69" s="38"/>
      <c r="C69" s="38"/>
    </row>
    <row r="70" spans="2:3">
      <c r="B70" s="38"/>
      <c r="C70" s="38"/>
    </row>
    <row r="71" spans="2:3">
      <c r="B71" s="38"/>
      <c r="C71" s="38"/>
    </row>
    <row r="72" spans="2:3">
      <c r="B72" s="38"/>
      <c r="C72" s="38"/>
    </row>
    <row r="73" spans="2:3">
      <c r="B73" s="38"/>
      <c r="C73" s="38"/>
    </row>
    <row r="74" spans="2:3">
      <c r="B74" s="38"/>
      <c r="C74" s="38"/>
    </row>
    <row r="75" spans="2:3">
      <c r="B75" s="38"/>
      <c r="C75" s="38"/>
    </row>
    <row r="76" spans="2:3">
      <c r="B76" s="38"/>
      <c r="C76" s="38"/>
    </row>
    <row r="77" spans="2:3">
      <c r="B77" s="38"/>
      <c r="C77" s="38"/>
    </row>
    <row r="78" spans="2:3">
      <c r="B78" s="38"/>
      <c r="C78" s="38"/>
    </row>
    <row r="79" spans="2:3">
      <c r="B79" s="38"/>
      <c r="C79" s="38"/>
    </row>
    <row r="80" spans="2:3">
      <c r="B80" s="38"/>
      <c r="C80" s="38"/>
    </row>
    <row r="81" spans="2:3">
      <c r="B81" s="38"/>
      <c r="C81" s="38"/>
    </row>
    <row r="82" spans="2:3">
      <c r="B82" s="38"/>
      <c r="C82" s="38"/>
    </row>
    <row r="83" spans="2:3">
      <c r="B83" s="39"/>
      <c r="C83" s="39"/>
    </row>
  </sheetData>
  <mergeCells count="1">
    <mergeCell ref="B3:H3"/>
  </mergeCells>
  <phoneticPr fontId="8" type="noConversion"/>
  <conditionalFormatting sqref="B4 B83:C83">
    <cfRule type="cellIs" dxfId="593" priority="27" operator="equal">
      <formula>#REF!</formula>
    </cfRule>
    <cfRule type="cellIs" dxfId="592" priority="28" operator="equal">
      <formula>#REF!</formula>
    </cfRule>
  </conditionalFormatting>
  <conditionalFormatting sqref="B6:B7">
    <cfRule type="cellIs" dxfId="591" priority="25" operator="equal">
      <formula>#REF!</formula>
    </cfRule>
    <cfRule type="cellIs" dxfId="590" priority="26" operator="equal">
      <formula>#REF!</formula>
    </cfRule>
  </conditionalFormatting>
  <conditionalFormatting sqref="B8">
    <cfRule type="cellIs" dxfId="589" priority="23" operator="equal">
      <formula>#REF!</formula>
    </cfRule>
    <cfRule type="cellIs" dxfId="588" priority="24" operator="equal">
      <formula>#REF!</formula>
    </cfRule>
  </conditionalFormatting>
  <conditionalFormatting sqref="B12:C21 B9:B11">
    <cfRule type="cellIs" dxfId="587" priority="21" operator="equal">
      <formula>#REF!</formula>
    </cfRule>
    <cfRule type="cellIs" dxfId="586" priority="22" operator="equal">
      <formula>#REF!</formula>
    </cfRule>
  </conditionalFormatting>
  <conditionalFormatting sqref="D4:G4">
    <cfRule type="cellIs" dxfId="585" priority="19" operator="equal">
      <formula>#REF!</formula>
    </cfRule>
    <cfRule type="cellIs" dxfId="584" priority="20" operator="equal">
      <formula>#REF!</formula>
    </cfRule>
  </conditionalFormatting>
  <conditionalFormatting sqref="H4">
    <cfRule type="cellIs" dxfId="583" priority="11" operator="equal">
      <formula>#REF!</formula>
    </cfRule>
    <cfRule type="cellIs" dxfId="582" priority="12" operator="equal">
      <formula>#REF!</formula>
    </cfRule>
  </conditionalFormatting>
  <conditionalFormatting sqref="C4">
    <cfRule type="cellIs" dxfId="581" priority="1" operator="equal">
      <formula>#REF!</formula>
    </cfRule>
    <cfRule type="cellIs" dxfId="580" priority="2" operator="equal">
      <formula>#REF!</formula>
    </cfRule>
  </conditionalFormatting>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B5:F22"/>
  <sheetViews>
    <sheetView workbookViewId="0">
      <selection activeCell="B8" sqref="B8"/>
    </sheetView>
  </sheetViews>
  <sheetFormatPr defaultRowHeight="13.5"/>
  <cols>
    <col min="1" max="2" width="7" style="14" customWidth="1"/>
    <col min="3" max="3" width="9" style="13"/>
    <col min="4" max="4" width="15.625" style="14" customWidth="1"/>
    <col min="5" max="5" width="13.875" style="15" customWidth="1"/>
    <col min="6" max="6" width="16.875" style="15" customWidth="1"/>
    <col min="7" max="16384" width="9" style="14"/>
  </cols>
  <sheetData>
    <row r="5" spans="3:6" ht="14.25" thickBot="1"/>
    <row r="6" spans="3:6" ht="45.75" customHeight="1" thickBot="1">
      <c r="C6" s="58" t="s">
        <v>37</v>
      </c>
      <c r="D6" s="59"/>
      <c r="E6" s="59"/>
      <c r="F6" s="60"/>
    </row>
    <row r="7" spans="3:6" s="19" customFormat="1" ht="33.75" customHeight="1">
      <c r="C7" s="16" t="s">
        <v>32</v>
      </c>
      <c r="D7" s="17" t="s">
        <v>28</v>
      </c>
      <c r="E7" s="17" t="s">
        <v>33</v>
      </c>
      <c r="F7" s="18" t="s">
        <v>34</v>
      </c>
    </row>
    <row r="8" spans="3:6" ht="33.75" customHeight="1">
      <c r="C8" s="20">
        <v>1</v>
      </c>
      <c r="D8" s="21" t="s">
        <v>3</v>
      </c>
      <c r="E8" s="22">
        <f t="array" ref="E8">SUM(IF(漏洞统计!H:H="高",1))</f>
        <v>0</v>
      </c>
      <c r="F8" s="23">
        <f>E8/E11</f>
        <v>0</v>
      </c>
    </row>
    <row r="9" spans="3:6" ht="33.75" customHeight="1">
      <c r="C9" s="20">
        <v>2</v>
      </c>
      <c r="D9" s="22" t="s">
        <v>6</v>
      </c>
      <c r="E9" s="22">
        <f t="array" ref="E9">SUM(IF(漏洞统计!H:H="中",1))</f>
        <v>0</v>
      </c>
      <c r="F9" s="23">
        <f>E9/E11</f>
        <v>0</v>
      </c>
    </row>
    <row r="10" spans="3:6" ht="33.75" customHeight="1">
      <c r="C10" s="20">
        <v>3</v>
      </c>
      <c r="D10" s="22" t="s">
        <v>35</v>
      </c>
      <c r="E10" s="22">
        <f t="array" ref="E10">SUM(IF(漏洞统计!H:H="低",1))</f>
        <v>1</v>
      </c>
      <c r="F10" s="23">
        <f>E10/E11</f>
        <v>1</v>
      </c>
    </row>
    <row r="11" spans="3:6" s="13" customFormat="1" ht="33.75" customHeight="1" thickBot="1">
      <c r="C11" s="24"/>
      <c r="D11" s="25" t="s">
        <v>36</v>
      </c>
      <c r="E11" s="26">
        <f>SUM(E8:E10)</f>
        <v>1</v>
      </c>
      <c r="F11" s="27">
        <f>SUM(F8:F10)</f>
        <v>1</v>
      </c>
    </row>
    <row r="15" spans="3:6">
      <c r="C15" s="28"/>
      <c r="D15" s="29"/>
    </row>
    <row r="16" spans="3:6">
      <c r="C16" s="28"/>
      <c r="D16" s="29"/>
    </row>
    <row r="17" spans="2:4">
      <c r="C17" s="28"/>
      <c r="D17" s="29"/>
    </row>
    <row r="18" spans="2:4">
      <c r="C18" s="28"/>
      <c r="D18" s="29"/>
    </row>
    <row r="19" spans="2:4">
      <c r="C19" s="28"/>
      <c r="D19" s="29"/>
    </row>
    <row r="20" spans="2:4">
      <c r="C20" s="28"/>
      <c r="D20" s="29"/>
    </row>
    <row r="21" spans="2:4" s="15" customFormat="1">
      <c r="B21" s="14"/>
      <c r="C21" s="28"/>
      <c r="D21" s="29"/>
    </row>
    <row r="22" spans="2:4" s="15" customFormat="1">
      <c r="B22" s="14"/>
      <c r="C22" s="30"/>
      <c r="D22" s="29"/>
    </row>
  </sheetData>
  <mergeCells count="1">
    <mergeCell ref="C6:F6"/>
  </mergeCells>
  <phoneticPr fontId="8" type="noConversion"/>
  <conditionalFormatting sqref="C15:C16">
    <cfRule type="cellIs" dxfId="579" priority="3" operator="equal">
      <formula>#REF!</formula>
    </cfRule>
    <cfRule type="cellIs" dxfId="578" priority="4" operator="equal">
      <formula>#REF!</formula>
    </cfRule>
  </conditionalFormatting>
  <conditionalFormatting sqref="C17:C21">
    <cfRule type="cellIs" dxfId="577" priority="1" operator="equal">
      <formula>#REF!</formula>
    </cfRule>
    <cfRule type="cellIs" dxfId="576" priority="2" operator="equal">
      <formula>#REF!</formula>
    </cfRule>
  </conditionalFormatting>
  <conditionalFormatting sqref="C15:C21">
    <cfRule type="duplicateValues" dxfId="575" priority="5"/>
  </conditionalFormatting>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3"/>
  <sheetViews>
    <sheetView zoomScaleNormal="100" workbookViewId="0">
      <pane ySplit="1" topLeftCell="A2" activePane="bottomLeft" state="frozen"/>
      <selection pane="bottomLeft" activeCell="C11" sqref="C11"/>
    </sheetView>
  </sheetViews>
  <sheetFormatPr defaultRowHeight="13.5"/>
  <cols>
    <col min="1" max="1" width="10.5" style="38" bestFit="1" customWidth="1"/>
    <col min="2" max="2" width="12.75" style="38" bestFit="1" customWidth="1"/>
    <col min="3" max="3" width="12.75" style="38" customWidth="1"/>
    <col min="4" max="4" width="29" style="34" customWidth="1"/>
    <col min="5" max="5" width="6.625" style="37" customWidth="1"/>
    <col min="6" max="7" width="50.625" style="34" customWidth="1"/>
    <col min="8" max="8" width="15.625" style="34" customWidth="1"/>
    <col min="9" max="9" width="80.625" style="34" customWidth="1"/>
    <col min="10" max="16384" width="9" style="34"/>
  </cols>
  <sheetData>
    <row r="1" spans="1:9" ht="28.5">
      <c r="A1" s="35" t="s">
        <v>487</v>
      </c>
      <c r="B1" s="35" t="s">
        <v>488</v>
      </c>
      <c r="C1" s="35" t="s">
        <v>541</v>
      </c>
      <c r="D1" s="35" t="s">
        <v>0</v>
      </c>
      <c r="E1" s="35" t="s">
        <v>28</v>
      </c>
      <c r="F1" s="35" t="s">
        <v>1</v>
      </c>
      <c r="G1" s="35" t="s">
        <v>2</v>
      </c>
      <c r="H1" s="44" t="s">
        <v>543</v>
      </c>
      <c r="I1" s="35" t="s">
        <v>542</v>
      </c>
    </row>
    <row r="2" spans="1:9" ht="121.5">
      <c r="A2" s="36">
        <v>18405</v>
      </c>
      <c r="B2" s="36" t="s">
        <v>485</v>
      </c>
      <c r="C2" s="36"/>
      <c r="D2" s="34" t="str">
        <f>VLOOKUP(A2,漏洞引用表!A:F,3,FALSE)</f>
        <v>微软Windows远程桌面协议服务器中间人攻击漏洞</v>
      </c>
      <c r="E2" s="37" t="str">
        <f>VLOOKUP(A2,漏洞引用表!A:F,4,FALSE)</f>
        <v>中</v>
      </c>
      <c r="F2" s="34" t="str">
        <f>VLOOKUP(A2,漏洞引用表!A:F,5,FALSE)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2" s="34" t="str">
        <f>VLOOKUP(A2,漏洞引用表!A:F,6,FALSE)</f>
        <v xml:space="preserve">[1]如果支持的话，RDP使用SSL作为传输层
[2]“只允许使用网络级身份验证的电脑运行远程桌面建立连接”设置为启用
</v>
      </c>
      <c r="H2" s="43"/>
    </row>
    <row r="3" spans="1:9" ht="121.5">
      <c r="A3" s="36">
        <v>18405</v>
      </c>
      <c r="B3" s="36" t="s">
        <v>486</v>
      </c>
      <c r="C3" s="36"/>
      <c r="D3" s="34" t="str">
        <f>VLOOKUP(A3,漏洞引用表!A:F,3,FALSE)</f>
        <v>微软Windows远程桌面协议服务器中间人攻击漏洞</v>
      </c>
      <c r="E3" s="37" t="str">
        <f>VLOOKUP(A3,漏洞引用表!A:F,4,FALSE)</f>
        <v>中</v>
      </c>
      <c r="F3" s="34" t="str">
        <f>VLOOKUP(A3,漏洞引用表!A:F,5,FALSE)</f>
        <v xml:space="preserve">Microsoft Windows远程桌面协议的实现在处理密钥的交换时存在漏洞，远程攻击者可能利用此漏洞窃取服务器的加密密钥。 
    起因是尽管通过网络传输的信息已经过加密，但在建立会话的加密密钥时没有核实服务器的身份，导致攻击者可以获得密钥，计算出有效的签名，然后发动中间人攻击。成功利用这个漏洞的攻击者可以完全控制连接在服务器上的客户端。
</v>
      </c>
      <c r="G3" s="34" t="str">
        <f>VLOOKUP(A3,漏洞引用表!A:F,6,FALSE)</f>
        <v xml:space="preserve">[1]如果支持的话，RDP使用SSL作为传输层
[2]“只允许使用网络级身份验证的电脑运行远程桌面建立连接”设置为启用
</v>
      </c>
    </row>
  </sheetData>
  <autoFilter ref="A1:I3"/>
  <phoneticPr fontId="8" type="noConversion"/>
  <conditionalFormatting sqref="D1:G1 A2:A1048576">
    <cfRule type="cellIs" dxfId="574" priority="25" operator="equal">
      <formula>#REF!</formula>
    </cfRule>
    <cfRule type="cellIs" dxfId="573" priority="26" operator="equal">
      <formula>#REF!</formula>
    </cfRule>
  </conditionalFormatting>
  <conditionalFormatting sqref="A3:C3">
    <cfRule type="cellIs" dxfId="572" priority="17" operator="equal">
      <formula>#REF!</formula>
    </cfRule>
    <cfRule type="cellIs" dxfId="571" priority="18" operator="equal">
      <formula>#REF!</formula>
    </cfRule>
  </conditionalFormatting>
  <conditionalFormatting sqref="A1:C1">
    <cfRule type="cellIs" dxfId="570" priority="3" operator="equal">
      <formula>#REF!</formula>
    </cfRule>
    <cfRule type="cellIs" dxfId="569" priority="4" operator="equal">
      <formula>#REF!</formula>
    </cfRule>
  </conditionalFormatting>
  <conditionalFormatting sqref="H1:I1">
    <cfRule type="cellIs" dxfId="568" priority="1" operator="equal">
      <formula>#REF!</formula>
    </cfRule>
    <cfRule type="cellIs" dxfId="567" priority="2" operator="equal">
      <formula>#REF!</formula>
    </cfRule>
  </conditionalFormatting>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J720"/>
  <sheetViews>
    <sheetView workbookViewId="0">
      <pane xSplit="3" ySplit="1" topLeftCell="D701" activePane="bottomRight" state="frozen"/>
      <selection pane="topRight" activeCell="B1" sqref="B1"/>
      <selection pane="bottomLeft" activeCell="A2" sqref="A2"/>
      <selection pane="bottomRight" activeCell="E703" sqref="E703"/>
    </sheetView>
  </sheetViews>
  <sheetFormatPr defaultRowHeight="12"/>
  <cols>
    <col min="1" max="1" width="9" style="47"/>
    <col min="2" max="2" width="23.625" style="46" customWidth="1"/>
    <col min="3" max="3" width="24.5" style="46" customWidth="1"/>
    <col min="4" max="4" width="7.875" style="47" customWidth="1"/>
    <col min="5" max="5" width="39.625" style="46" customWidth="1"/>
    <col min="6" max="6" width="54.25" style="46" customWidth="1"/>
    <col min="7" max="7" width="49.75" style="1" customWidth="1"/>
    <col min="8" max="16384" width="9" style="1"/>
  </cols>
  <sheetData>
    <row r="1" spans="1:6" s="5" customFormat="1">
      <c r="A1" s="5" t="s">
        <v>546</v>
      </c>
      <c r="B1" s="5" t="s">
        <v>547</v>
      </c>
      <c r="C1" s="5" t="s">
        <v>0</v>
      </c>
      <c r="D1" s="5" t="s">
        <v>564</v>
      </c>
      <c r="E1" s="5" t="s">
        <v>544</v>
      </c>
      <c r="F1" s="5" t="s">
        <v>2</v>
      </c>
    </row>
    <row r="2" spans="1:6" s="7" customFormat="1" ht="24">
      <c r="A2" s="47">
        <v>10079</v>
      </c>
      <c r="B2" s="46" t="s">
        <v>653</v>
      </c>
      <c r="C2" s="46" t="s">
        <v>654</v>
      </c>
      <c r="D2" s="47" t="s">
        <v>655</v>
      </c>
      <c r="E2" s="46" t="s">
        <v>656</v>
      </c>
      <c r="F2" s="46" t="s">
        <v>657</v>
      </c>
    </row>
    <row r="3" spans="1:6" s="8" customFormat="1" ht="36">
      <c r="A3" s="47">
        <v>10081</v>
      </c>
      <c r="B3" s="46" t="s">
        <v>658</v>
      </c>
      <c r="C3" s="46" t="s">
        <v>659</v>
      </c>
      <c r="D3" s="47" t="s">
        <v>660</v>
      </c>
      <c r="E3" s="46" t="s">
        <v>661</v>
      </c>
      <c r="F3" s="46" t="s">
        <v>662</v>
      </c>
    </row>
    <row r="4" spans="1:6" s="5" customFormat="1" ht="24">
      <c r="A4" s="47">
        <v>10166</v>
      </c>
      <c r="B4" s="46" t="s">
        <v>663</v>
      </c>
      <c r="C4" s="46" t="s">
        <v>664</v>
      </c>
      <c r="D4" s="47" t="s">
        <v>3</v>
      </c>
      <c r="E4" s="46" t="s">
        <v>665</v>
      </c>
      <c r="F4" s="46" t="s">
        <v>666</v>
      </c>
    </row>
    <row r="5" spans="1:6" s="5" customFormat="1" ht="48">
      <c r="A5" s="47">
        <v>10205</v>
      </c>
      <c r="B5" s="46" t="s">
        <v>667</v>
      </c>
      <c r="C5" s="46" t="s">
        <v>668</v>
      </c>
      <c r="D5" s="47" t="s">
        <v>669</v>
      </c>
      <c r="E5" s="46" t="s">
        <v>670</v>
      </c>
      <c r="F5" s="46" t="s">
        <v>671</v>
      </c>
    </row>
    <row r="6" spans="1:6" s="8" customFormat="1" ht="60">
      <c r="A6" s="47">
        <v>10539</v>
      </c>
      <c r="B6" s="46" t="s">
        <v>672</v>
      </c>
      <c r="C6" s="46" t="s">
        <v>673</v>
      </c>
      <c r="D6" s="47" t="s">
        <v>12</v>
      </c>
      <c r="E6" s="46" t="s">
        <v>565</v>
      </c>
      <c r="F6" s="46" t="s">
        <v>674</v>
      </c>
    </row>
    <row r="7" spans="1:6" ht="36">
      <c r="A7" s="47">
        <v>10673</v>
      </c>
      <c r="B7" s="46" t="s">
        <v>675</v>
      </c>
      <c r="C7" s="46" t="s">
        <v>676</v>
      </c>
      <c r="D7" s="47" t="s">
        <v>3</v>
      </c>
      <c r="E7" s="46" t="s">
        <v>566</v>
      </c>
      <c r="F7" s="46" t="s">
        <v>567</v>
      </c>
    </row>
    <row r="8" spans="1:6" s="9" customFormat="1" ht="36">
      <c r="A8" s="47">
        <v>10862</v>
      </c>
      <c r="B8" s="46" t="s">
        <v>677</v>
      </c>
      <c r="C8" s="46" t="s">
        <v>678</v>
      </c>
      <c r="D8" s="47" t="s">
        <v>660</v>
      </c>
      <c r="E8" s="46" t="s">
        <v>679</v>
      </c>
      <c r="F8" s="46" t="s">
        <v>680</v>
      </c>
    </row>
    <row r="9" spans="1:6" ht="24">
      <c r="A9" s="47">
        <v>10882</v>
      </c>
      <c r="B9" s="46" t="s">
        <v>681</v>
      </c>
      <c r="C9" s="46" t="s">
        <v>682</v>
      </c>
      <c r="D9" s="47" t="s">
        <v>655</v>
      </c>
      <c r="E9" s="46" t="s">
        <v>683</v>
      </c>
      <c r="F9" s="46" t="s">
        <v>684</v>
      </c>
    </row>
    <row r="10" spans="1:6" s="9" customFormat="1" ht="96">
      <c r="A10" s="47">
        <v>11037</v>
      </c>
      <c r="B10" s="46" t="s">
        <v>685</v>
      </c>
      <c r="C10" s="46" t="s">
        <v>686</v>
      </c>
      <c r="D10" s="47" t="s">
        <v>12</v>
      </c>
      <c r="E10" s="46" t="s">
        <v>568</v>
      </c>
      <c r="F10" s="46" t="s">
        <v>569</v>
      </c>
    </row>
    <row r="11" spans="1:6" s="10" customFormat="1" ht="48">
      <c r="A11" s="47">
        <v>11213</v>
      </c>
      <c r="B11" s="46" t="s">
        <v>687</v>
      </c>
      <c r="C11" s="46" t="s">
        <v>688</v>
      </c>
      <c r="D11" s="47" t="s">
        <v>6</v>
      </c>
      <c r="E11" s="46" t="s">
        <v>689</v>
      </c>
      <c r="F11" s="46" t="s">
        <v>690</v>
      </c>
    </row>
    <row r="12" spans="1:6" ht="48">
      <c r="A12" s="47">
        <v>11214</v>
      </c>
      <c r="B12" s="9" t="s">
        <v>570</v>
      </c>
      <c r="C12" s="9" t="s">
        <v>691</v>
      </c>
      <c r="D12" s="7" t="s">
        <v>692</v>
      </c>
      <c r="E12" s="9" t="s">
        <v>693</v>
      </c>
      <c r="F12" s="9" t="s">
        <v>694</v>
      </c>
    </row>
    <row r="13" spans="1:6" s="10" customFormat="1" ht="72">
      <c r="A13" s="47">
        <v>11454</v>
      </c>
      <c r="B13" s="46" t="s">
        <v>695</v>
      </c>
      <c r="C13" s="46" t="s">
        <v>696</v>
      </c>
      <c r="D13" s="47" t="s">
        <v>697</v>
      </c>
      <c r="E13" s="46" t="s">
        <v>698</v>
      </c>
      <c r="F13" s="46" t="s">
        <v>699</v>
      </c>
    </row>
    <row r="14" spans="1:6" ht="48">
      <c r="A14" s="47">
        <v>11835</v>
      </c>
      <c r="B14" s="9" t="s">
        <v>700</v>
      </c>
      <c r="C14" s="9" t="s">
        <v>701</v>
      </c>
      <c r="D14" s="47" t="s">
        <v>692</v>
      </c>
      <c r="E14" s="9" t="s">
        <v>572</v>
      </c>
      <c r="F14" s="46" t="s">
        <v>573</v>
      </c>
    </row>
    <row r="15" spans="1:6" ht="60">
      <c r="A15" s="47">
        <v>11890</v>
      </c>
      <c r="B15" s="46" t="s">
        <v>702</v>
      </c>
      <c r="C15" s="46" t="s">
        <v>574</v>
      </c>
      <c r="D15" s="47" t="s">
        <v>692</v>
      </c>
      <c r="E15" s="46" t="s">
        <v>703</v>
      </c>
      <c r="F15" s="46" t="s">
        <v>704</v>
      </c>
    </row>
    <row r="16" spans="1:6" s="9" customFormat="1" ht="60">
      <c r="A16" s="47">
        <v>12085</v>
      </c>
      <c r="B16" s="46" t="s">
        <v>575</v>
      </c>
      <c r="C16" s="46" t="s">
        <v>705</v>
      </c>
      <c r="D16" s="47" t="s">
        <v>706</v>
      </c>
      <c r="E16" s="46" t="s">
        <v>707</v>
      </c>
      <c r="F16" s="46" t="s">
        <v>708</v>
      </c>
    </row>
    <row r="17" spans="1:6" ht="48">
      <c r="A17" s="47">
        <v>12209</v>
      </c>
      <c r="B17" s="46" t="s">
        <v>709</v>
      </c>
      <c r="C17" s="46" t="s">
        <v>710</v>
      </c>
      <c r="D17" s="47" t="s">
        <v>571</v>
      </c>
      <c r="E17" s="46" t="s">
        <v>711</v>
      </c>
      <c r="F17" s="46" t="s">
        <v>712</v>
      </c>
    </row>
    <row r="18" spans="1:6" ht="60">
      <c r="A18" s="47">
        <v>12217</v>
      </c>
      <c r="B18" s="46" t="s">
        <v>713</v>
      </c>
      <c r="C18" s="46" t="s">
        <v>714</v>
      </c>
      <c r="D18" s="47" t="s">
        <v>6</v>
      </c>
      <c r="E18" s="46" t="s">
        <v>715</v>
      </c>
      <c r="F18" s="46" t="s">
        <v>576</v>
      </c>
    </row>
    <row r="19" spans="1:6" ht="48">
      <c r="A19" s="47">
        <v>12218</v>
      </c>
      <c r="B19" s="46" t="s">
        <v>716</v>
      </c>
      <c r="C19" s="46" t="s">
        <v>717</v>
      </c>
      <c r="D19" s="47" t="s">
        <v>706</v>
      </c>
      <c r="E19" s="46" t="s">
        <v>577</v>
      </c>
      <c r="F19" s="46" t="s">
        <v>718</v>
      </c>
    </row>
    <row r="20" spans="1:6" ht="48">
      <c r="A20" s="47">
        <v>13852</v>
      </c>
      <c r="B20" s="46" t="s">
        <v>8</v>
      </c>
      <c r="C20" s="46" t="s">
        <v>719</v>
      </c>
      <c r="D20" s="47" t="s">
        <v>571</v>
      </c>
      <c r="E20" s="46" t="s">
        <v>720</v>
      </c>
      <c r="F20" s="46" t="s">
        <v>721</v>
      </c>
    </row>
    <row r="21" spans="1:6">
      <c r="A21" s="47">
        <v>15901</v>
      </c>
      <c r="B21" s="9" t="s">
        <v>722</v>
      </c>
      <c r="C21" s="9" t="s">
        <v>723</v>
      </c>
      <c r="D21" s="7" t="s">
        <v>12</v>
      </c>
      <c r="E21" s="9" t="s">
        <v>724</v>
      </c>
      <c r="F21" s="9" t="s">
        <v>725</v>
      </c>
    </row>
    <row r="22" spans="1:6" s="9" customFormat="1" ht="48">
      <c r="A22" s="47">
        <v>17204</v>
      </c>
      <c r="B22" s="46" t="s">
        <v>726</v>
      </c>
      <c r="C22" s="46" t="s">
        <v>727</v>
      </c>
      <c r="D22" s="47" t="s">
        <v>728</v>
      </c>
      <c r="E22" s="46" t="s">
        <v>729</v>
      </c>
      <c r="F22" s="46" t="s">
        <v>730</v>
      </c>
    </row>
    <row r="23" spans="1:6" s="9" customFormat="1" ht="96">
      <c r="A23" s="47">
        <v>17696</v>
      </c>
      <c r="B23" s="46" t="s">
        <v>731</v>
      </c>
      <c r="C23" s="46" t="s">
        <v>578</v>
      </c>
      <c r="D23" s="47" t="s">
        <v>728</v>
      </c>
      <c r="E23" s="46" t="s">
        <v>732</v>
      </c>
      <c r="F23" s="46" t="s">
        <v>733</v>
      </c>
    </row>
    <row r="24" spans="1:6" ht="48">
      <c r="A24" s="47">
        <v>17735</v>
      </c>
      <c r="B24" s="46" t="s">
        <v>734</v>
      </c>
      <c r="C24" s="46" t="s">
        <v>735</v>
      </c>
      <c r="D24" s="47" t="s">
        <v>728</v>
      </c>
      <c r="E24" s="46" t="s">
        <v>736</v>
      </c>
      <c r="F24" s="46" t="s">
        <v>737</v>
      </c>
    </row>
    <row r="25" spans="1:6" s="9" customFormat="1" ht="48">
      <c r="A25" s="47">
        <v>17736</v>
      </c>
      <c r="B25" s="46" t="s">
        <v>579</v>
      </c>
      <c r="C25" s="46" t="s">
        <v>548</v>
      </c>
      <c r="D25" s="47" t="s">
        <v>728</v>
      </c>
      <c r="E25" s="46" t="s">
        <v>580</v>
      </c>
      <c r="F25" s="46" t="s">
        <v>738</v>
      </c>
    </row>
    <row r="26" spans="1:6" ht="48">
      <c r="A26" s="47">
        <v>17740</v>
      </c>
      <c r="B26" s="46" t="s">
        <v>739</v>
      </c>
      <c r="C26" s="46" t="s">
        <v>740</v>
      </c>
      <c r="D26" s="47" t="s">
        <v>6</v>
      </c>
      <c r="E26" s="46" t="s">
        <v>741</v>
      </c>
      <c r="F26" s="46" t="s">
        <v>742</v>
      </c>
    </row>
    <row r="27" spans="1:6" ht="36">
      <c r="A27" s="47">
        <v>17741</v>
      </c>
      <c r="B27" s="46" t="s">
        <v>581</v>
      </c>
      <c r="C27" s="46" t="s">
        <v>582</v>
      </c>
      <c r="D27" s="47" t="s">
        <v>728</v>
      </c>
      <c r="E27" s="46" t="s">
        <v>743</v>
      </c>
      <c r="F27" s="46" t="s">
        <v>744</v>
      </c>
    </row>
    <row r="28" spans="1:6" s="10" customFormat="1" ht="60">
      <c r="A28" s="47">
        <v>17743</v>
      </c>
      <c r="B28" s="46" t="s">
        <v>745</v>
      </c>
      <c r="C28" s="46" t="s">
        <v>746</v>
      </c>
      <c r="D28" s="47" t="s">
        <v>655</v>
      </c>
      <c r="E28" s="46" t="s">
        <v>747</v>
      </c>
      <c r="F28" s="46" t="s">
        <v>748</v>
      </c>
    </row>
    <row r="29" spans="1:6" ht="48">
      <c r="A29" s="47">
        <v>17771</v>
      </c>
      <c r="B29" s="46" t="s">
        <v>583</v>
      </c>
      <c r="C29" s="46" t="s">
        <v>749</v>
      </c>
      <c r="D29" s="47" t="s">
        <v>706</v>
      </c>
      <c r="E29" s="46" t="s">
        <v>750</v>
      </c>
      <c r="F29" s="46" t="s">
        <v>751</v>
      </c>
    </row>
    <row r="30" spans="1:6" ht="24">
      <c r="A30" s="47">
        <v>18037</v>
      </c>
      <c r="B30" s="46" t="s">
        <v>752</v>
      </c>
      <c r="C30" s="46" t="s">
        <v>753</v>
      </c>
      <c r="D30" s="47" t="s">
        <v>669</v>
      </c>
      <c r="E30" s="46" t="s">
        <v>754</v>
      </c>
      <c r="F30" s="46" t="s">
        <v>584</v>
      </c>
    </row>
    <row r="31" spans="1:6" ht="36">
      <c r="A31" s="47">
        <v>18119</v>
      </c>
      <c r="B31" s="46" t="s">
        <v>755</v>
      </c>
      <c r="C31" s="46" t="s">
        <v>756</v>
      </c>
      <c r="D31" s="47" t="s">
        <v>669</v>
      </c>
      <c r="E31" s="46" t="s">
        <v>757</v>
      </c>
      <c r="F31" s="46" t="s">
        <v>758</v>
      </c>
    </row>
    <row r="32" spans="1:6" ht="36">
      <c r="A32" s="47">
        <v>18365</v>
      </c>
      <c r="B32" s="46" t="s">
        <v>759</v>
      </c>
      <c r="C32" s="46" t="s">
        <v>760</v>
      </c>
      <c r="D32" s="47" t="s">
        <v>660</v>
      </c>
      <c r="E32" s="46" t="s">
        <v>761</v>
      </c>
      <c r="F32" s="46" t="s">
        <v>585</v>
      </c>
    </row>
    <row r="33" spans="1:6" s="9" customFormat="1" ht="108">
      <c r="A33" s="47">
        <v>18405</v>
      </c>
      <c r="B33" s="46" t="s">
        <v>762</v>
      </c>
      <c r="C33" s="46" t="s">
        <v>763</v>
      </c>
      <c r="D33" s="47" t="s">
        <v>728</v>
      </c>
      <c r="E33" s="46" t="s">
        <v>764</v>
      </c>
      <c r="F33" s="46" t="s">
        <v>765</v>
      </c>
    </row>
    <row r="34" spans="1:6" s="9" customFormat="1" ht="36">
      <c r="A34" s="47">
        <v>18483</v>
      </c>
      <c r="B34" s="46" t="s">
        <v>766</v>
      </c>
      <c r="C34" s="46" t="s">
        <v>767</v>
      </c>
      <c r="D34" s="47" t="s">
        <v>692</v>
      </c>
      <c r="E34" s="46" t="s">
        <v>768</v>
      </c>
      <c r="F34" s="46" t="s">
        <v>769</v>
      </c>
    </row>
    <row r="35" spans="1:6" ht="60">
      <c r="A35" s="47">
        <v>18526</v>
      </c>
      <c r="B35" s="9" t="s">
        <v>770</v>
      </c>
      <c r="C35" s="9" t="s">
        <v>771</v>
      </c>
      <c r="D35" s="7" t="s">
        <v>12</v>
      </c>
      <c r="E35" s="9" t="s">
        <v>772</v>
      </c>
      <c r="F35" s="9" t="s">
        <v>773</v>
      </c>
    </row>
    <row r="36" spans="1:6" ht="60">
      <c r="A36" s="47">
        <v>19402</v>
      </c>
      <c r="B36" s="46" t="s">
        <v>774</v>
      </c>
      <c r="C36" s="46" t="s">
        <v>586</v>
      </c>
      <c r="D36" s="47" t="s">
        <v>692</v>
      </c>
      <c r="E36" s="46" t="s">
        <v>775</v>
      </c>
      <c r="F36" s="46" t="s">
        <v>776</v>
      </c>
    </row>
    <row r="37" spans="1:6" ht="60">
      <c r="A37" s="47">
        <v>19407</v>
      </c>
      <c r="B37" s="9" t="s">
        <v>777</v>
      </c>
      <c r="C37" s="7" t="s">
        <v>778</v>
      </c>
      <c r="D37" s="7" t="s">
        <v>692</v>
      </c>
      <c r="E37" s="9" t="s">
        <v>779</v>
      </c>
      <c r="F37" s="9" t="s">
        <v>780</v>
      </c>
    </row>
    <row r="38" spans="1:6">
      <c r="A38" s="47">
        <v>19782</v>
      </c>
      <c r="B38" s="46" t="s">
        <v>9</v>
      </c>
      <c r="C38" s="46" t="s">
        <v>587</v>
      </c>
      <c r="D38" s="47" t="s">
        <v>728</v>
      </c>
      <c r="E38" s="46" t="s">
        <v>781</v>
      </c>
      <c r="F38" s="46" t="s">
        <v>782</v>
      </c>
    </row>
    <row r="39" spans="1:6" ht="48">
      <c r="A39" s="47">
        <v>20007</v>
      </c>
      <c r="B39" s="9" t="s">
        <v>588</v>
      </c>
      <c r="C39" s="9" t="s">
        <v>783</v>
      </c>
      <c r="D39" s="7" t="s">
        <v>12</v>
      </c>
      <c r="E39" s="9" t="s">
        <v>784</v>
      </c>
      <c r="F39" s="9" t="s">
        <v>785</v>
      </c>
    </row>
    <row r="40" spans="1:6" s="9" customFormat="1" ht="60">
      <c r="A40" s="47">
        <v>20008</v>
      </c>
      <c r="B40" s="46" t="s">
        <v>786</v>
      </c>
      <c r="C40" s="46" t="s">
        <v>787</v>
      </c>
      <c r="D40" s="7" t="s">
        <v>571</v>
      </c>
      <c r="E40" s="46" t="s">
        <v>788</v>
      </c>
      <c r="F40" s="46" t="s">
        <v>789</v>
      </c>
    </row>
    <row r="41" spans="1:6" s="9" customFormat="1" ht="60">
      <c r="A41" s="47">
        <v>21334</v>
      </c>
      <c r="B41" s="46" t="s">
        <v>790</v>
      </c>
      <c r="C41" s="46" t="s">
        <v>791</v>
      </c>
      <c r="D41" s="7" t="s">
        <v>792</v>
      </c>
      <c r="E41" s="46" t="s">
        <v>793</v>
      </c>
      <c r="F41" s="46" t="s">
        <v>549</v>
      </c>
    </row>
    <row r="42" spans="1:6" s="9" customFormat="1" ht="60">
      <c r="A42" s="47">
        <v>21564</v>
      </c>
      <c r="B42" s="46" t="s">
        <v>794</v>
      </c>
      <c r="C42" s="46" t="s">
        <v>795</v>
      </c>
      <c r="D42" s="47" t="s">
        <v>669</v>
      </c>
      <c r="E42" s="46" t="s">
        <v>796</v>
      </c>
      <c r="F42" s="46" t="s">
        <v>797</v>
      </c>
    </row>
    <row r="43" spans="1:6" ht="48">
      <c r="A43" s="47">
        <v>21655</v>
      </c>
      <c r="B43" s="46" t="s">
        <v>798</v>
      </c>
      <c r="C43" s="46" t="s">
        <v>589</v>
      </c>
      <c r="D43" s="47" t="s">
        <v>692</v>
      </c>
      <c r="E43" s="46" t="s">
        <v>799</v>
      </c>
      <c r="F43" s="46" t="s">
        <v>800</v>
      </c>
    </row>
    <row r="44" spans="1:6" s="9" customFormat="1" ht="84">
      <c r="A44" s="47">
        <v>22029</v>
      </c>
      <c r="B44" s="46" t="s">
        <v>801</v>
      </c>
      <c r="C44" s="46" t="s">
        <v>802</v>
      </c>
      <c r="D44" s="47" t="s">
        <v>669</v>
      </c>
      <c r="E44" s="46" t="s">
        <v>803</v>
      </c>
      <c r="F44" s="46" t="s">
        <v>804</v>
      </c>
    </row>
    <row r="45" spans="1:6" ht="84">
      <c r="A45" s="47">
        <v>22034</v>
      </c>
      <c r="B45" s="46" t="s">
        <v>805</v>
      </c>
      <c r="C45" s="46" t="s">
        <v>802</v>
      </c>
      <c r="D45" s="47" t="s">
        <v>806</v>
      </c>
      <c r="E45" s="46" t="s">
        <v>807</v>
      </c>
      <c r="F45" s="46" t="s">
        <v>808</v>
      </c>
    </row>
    <row r="46" spans="1:6" s="9" customFormat="1" ht="60">
      <c r="A46" s="47">
        <v>22194</v>
      </c>
      <c r="B46" s="46" t="s">
        <v>809</v>
      </c>
      <c r="C46" s="46" t="s">
        <v>810</v>
      </c>
      <c r="D46" s="47" t="s">
        <v>692</v>
      </c>
      <c r="E46" s="46" t="s">
        <v>811</v>
      </c>
      <c r="F46" s="46" t="s">
        <v>590</v>
      </c>
    </row>
    <row r="47" spans="1:6" ht="36">
      <c r="A47" s="47">
        <v>22254</v>
      </c>
      <c r="B47" s="46" t="s">
        <v>812</v>
      </c>
      <c r="C47" s="46" t="s">
        <v>813</v>
      </c>
      <c r="D47" s="47" t="s">
        <v>655</v>
      </c>
      <c r="E47" s="46" t="s">
        <v>814</v>
      </c>
      <c r="F47" s="46" t="s">
        <v>815</v>
      </c>
    </row>
    <row r="48" spans="1:6" ht="48">
      <c r="A48" s="47">
        <v>25289</v>
      </c>
      <c r="B48" s="46" t="s">
        <v>816</v>
      </c>
      <c r="C48" s="46" t="s">
        <v>817</v>
      </c>
      <c r="D48" s="47" t="s">
        <v>6</v>
      </c>
      <c r="E48" s="46" t="s">
        <v>591</v>
      </c>
      <c r="F48" s="46" t="s">
        <v>818</v>
      </c>
    </row>
    <row r="49" spans="1:6" ht="36">
      <c r="A49" s="47">
        <v>26023</v>
      </c>
      <c r="B49" s="46" t="s">
        <v>819</v>
      </c>
      <c r="C49" s="46" t="s">
        <v>820</v>
      </c>
      <c r="D49" s="47" t="s">
        <v>728</v>
      </c>
      <c r="E49" s="46" t="s">
        <v>821</v>
      </c>
      <c r="F49" s="46" t="s">
        <v>822</v>
      </c>
    </row>
    <row r="50" spans="1:6" ht="60">
      <c r="A50" s="47">
        <v>26057</v>
      </c>
      <c r="B50" s="46" t="s">
        <v>823</v>
      </c>
      <c r="C50" s="46" t="s">
        <v>592</v>
      </c>
      <c r="D50" s="47" t="s">
        <v>6</v>
      </c>
      <c r="E50" s="46" t="s">
        <v>824</v>
      </c>
      <c r="F50" s="46" t="s">
        <v>825</v>
      </c>
    </row>
    <row r="51" spans="1:6" ht="144">
      <c r="A51" s="47">
        <v>26920</v>
      </c>
      <c r="B51" s="46" t="s">
        <v>826</v>
      </c>
      <c r="C51" s="46" t="s">
        <v>827</v>
      </c>
      <c r="D51" s="47" t="s">
        <v>728</v>
      </c>
      <c r="E51" s="46" t="s">
        <v>828</v>
      </c>
      <c r="F51" s="46" t="s">
        <v>829</v>
      </c>
    </row>
    <row r="52" spans="1:6" ht="24">
      <c r="A52" s="47">
        <v>26928</v>
      </c>
      <c r="B52" s="9" t="s">
        <v>830</v>
      </c>
      <c r="C52" s="9" t="s">
        <v>831</v>
      </c>
      <c r="D52" s="7" t="s">
        <v>12</v>
      </c>
      <c r="E52" s="9" t="s">
        <v>593</v>
      </c>
      <c r="F52" s="9" t="s">
        <v>832</v>
      </c>
    </row>
    <row r="53" spans="1:6" s="9" customFormat="1" ht="24">
      <c r="A53" s="47">
        <v>31118</v>
      </c>
      <c r="B53" s="46" t="s">
        <v>833</v>
      </c>
      <c r="C53" s="46" t="s">
        <v>834</v>
      </c>
      <c r="D53" s="47" t="s">
        <v>728</v>
      </c>
      <c r="E53" s="46" t="s">
        <v>821</v>
      </c>
      <c r="F53" s="46" t="s">
        <v>835</v>
      </c>
    </row>
    <row r="54" spans="1:6" ht="24">
      <c r="A54" s="47">
        <v>32123</v>
      </c>
      <c r="B54" s="9" t="s">
        <v>836</v>
      </c>
      <c r="C54" s="9" t="s">
        <v>837</v>
      </c>
      <c r="D54" s="7" t="s">
        <v>13</v>
      </c>
      <c r="E54" s="9" t="s">
        <v>838</v>
      </c>
      <c r="F54" s="9" t="s">
        <v>839</v>
      </c>
    </row>
    <row r="55" spans="1:6" ht="144">
      <c r="A55" s="47">
        <v>33447</v>
      </c>
      <c r="B55" s="46" t="s">
        <v>840</v>
      </c>
      <c r="C55" s="46" t="s">
        <v>594</v>
      </c>
      <c r="D55" s="47" t="s">
        <v>669</v>
      </c>
      <c r="E55" s="46" t="s">
        <v>841</v>
      </c>
      <c r="F55" s="46" t="s">
        <v>842</v>
      </c>
    </row>
    <row r="56" spans="1:6" s="6" customFormat="1" ht="24">
      <c r="A56" s="47">
        <v>33477</v>
      </c>
      <c r="B56" s="46" t="s">
        <v>595</v>
      </c>
      <c r="C56" s="46" t="s">
        <v>596</v>
      </c>
      <c r="D56" s="47" t="s">
        <v>655</v>
      </c>
      <c r="E56" s="46" t="s">
        <v>821</v>
      </c>
      <c r="F56" s="46" t="s">
        <v>597</v>
      </c>
    </row>
    <row r="57" spans="1:6" ht="24">
      <c r="A57" s="47">
        <v>33850</v>
      </c>
      <c r="B57" s="46" t="s">
        <v>843</v>
      </c>
      <c r="C57" s="46" t="s">
        <v>844</v>
      </c>
      <c r="D57" s="47" t="s">
        <v>692</v>
      </c>
      <c r="E57" s="46" t="s">
        <v>845</v>
      </c>
      <c r="F57" s="46" t="s">
        <v>846</v>
      </c>
    </row>
    <row r="58" spans="1:6" s="9" customFormat="1" ht="36">
      <c r="A58" s="47">
        <v>33852</v>
      </c>
      <c r="B58" s="46" t="s">
        <v>847</v>
      </c>
      <c r="C58" s="46" t="s">
        <v>848</v>
      </c>
      <c r="D58" s="47" t="s">
        <v>806</v>
      </c>
      <c r="E58" s="46" t="s">
        <v>849</v>
      </c>
      <c r="F58" s="46" t="s">
        <v>850</v>
      </c>
    </row>
    <row r="59" spans="1:6" ht="204">
      <c r="A59" s="47">
        <v>34311</v>
      </c>
      <c r="B59" s="46" t="s">
        <v>851</v>
      </c>
      <c r="C59" s="46" t="s">
        <v>852</v>
      </c>
      <c r="D59" s="47" t="s">
        <v>669</v>
      </c>
      <c r="E59" s="46" t="s">
        <v>853</v>
      </c>
      <c r="F59" s="46" t="s">
        <v>854</v>
      </c>
    </row>
    <row r="60" spans="1:6" ht="36">
      <c r="A60" s="47">
        <v>34460</v>
      </c>
      <c r="B60" s="46" t="s">
        <v>855</v>
      </c>
      <c r="C60" s="46" t="s">
        <v>856</v>
      </c>
      <c r="D60" s="47" t="s">
        <v>669</v>
      </c>
      <c r="E60" s="46" t="s">
        <v>598</v>
      </c>
      <c r="F60" s="46" t="s">
        <v>857</v>
      </c>
    </row>
    <row r="61" spans="1:6" ht="72">
      <c r="A61" s="47">
        <v>34477</v>
      </c>
      <c r="B61" s="46" t="s">
        <v>858</v>
      </c>
      <c r="C61" s="46" t="s">
        <v>550</v>
      </c>
      <c r="D61" s="47" t="s">
        <v>792</v>
      </c>
      <c r="E61" s="46" t="s">
        <v>859</v>
      </c>
      <c r="F61" s="46" t="s">
        <v>599</v>
      </c>
    </row>
    <row r="62" spans="1:6" ht="36">
      <c r="A62" s="47">
        <v>34970</v>
      </c>
      <c r="B62" s="9" t="s">
        <v>860</v>
      </c>
      <c r="C62" s="9" t="s">
        <v>861</v>
      </c>
      <c r="D62" s="7" t="s">
        <v>571</v>
      </c>
      <c r="E62" s="9" t="s">
        <v>862</v>
      </c>
      <c r="F62" s="9" t="s">
        <v>863</v>
      </c>
    </row>
    <row r="63" spans="1:6" ht="24">
      <c r="A63" s="47">
        <v>35043</v>
      </c>
      <c r="B63" s="9" t="s">
        <v>864</v>
      </c>
      <c r="C63" s="9" t="s">
        <v>865</v>
      </c>
      <c r="D63" s="7" t="s">
        <v>13</v>
      </c>
      <c r="E63" s="9" t="s">
        <v>866</v>
      </c>
      <c r="F63" s="9" t="s">
        <v>867</v>
      </c>
    </row>
    <row r="64" spans="1:6" ht="24">
      <c r="A64" s="47">
        <v>35067</v>
      </c>
      <c r="B64" s="9" t="s">
        <v>600</v>
      </c>
      <c r="C64" s="9" t="s">
        <v>868</v>
      </c>
      <c r="D64" s="7" t="s">
        <v>13</v>
      </c>
      <c r="E64" s="9" t="s">
        <v>869</v>
      </c>
      <c r="F64" s="9" t="s">
        <v>870</v>
      </c>
    </row>
    <row r="65" spans="1:6" s="9" customFormat="1" ht="36">
      <c r="A65" s="47">
        <v>35291</v>
      </c>
      <c r="B65" s="9" t="s">
        <v>871</v>
      </c>
      <c r="C65" s="9" t="s">
        <v>872</v>
      </c>
      <c r="D65" s="7" t="s">
        <v>12</v>
      </c>
      <c r="E65" s="9" t="s">
        <v>873</v>
      </c>
      <c r="F65" s="9" t="s">
        <v>874</v>
      </c>
    </row>
    <row r="66" spans="1:6" s="9" customFormat="1" ht="48">
      <c r="A66" s="47">
        <v>35362</v>
      </c>
      <c r="B66" s="46" t="s">
        <v>875</v>
      </c>
      <c r="C66" s="46" t="s">
        <v>876</v>
      </c>
      <c r="D66" s="47" t="s">
        <v>792</v>
      </c>
      <c r="E66" s="46" t="s">
        <v>551</v>
      </c>
      <c r="F66" s="46" t="s">
        <v>877</v>
      </c>
    </row>
    <row r="67" spans="1:6" s="6" customFormat="1" ht="48">
      <c r="A67" s="47">
        <v>35450</v>
      </c>
      <c r="B67" s="9" t="s">
        <v>878</v>
      </c>
      <c r="C67" s="9" t="s">
        <v>879</v>
      </c>
      <c r="D67" s="7" t="s">
        <v>12</v>
      </c>
      <c r="E67" s="9" t="s">
        <v>880</v>
      </c>
      <c r="F67" s="9" t="s">
        <v>601</v>
      </c>
    </row>
    <row r="68" spans="1:6" s="9" customFormat="1" ht="84">
      <c r="A68" s="47">
        <v>35635</v>
      </c>
      <c r="B68" s="46" t="s">
        <v>881</v>
      </c>
      <c r="C68" s="46" t="s">
        <v>882</v>
      </c>
      <c r="D68" s="47" t="s">
        <v>669</v>
      </c>
      <c r="E68" s="46" t="s">
        <v>883</v>
      </c>
      <c r="F68" s="46" t="s">
        <v>884</v>
      </c>
    </row>
    <row r="69" spans="1:6" s="6" customFormat="1" ht="24">
      <c r="A69" s="47">
        <v>35750</v>
      </c>
      <c r="B69" s="9" t="s">
        <v>885</v>
      </c>
      <c r="C69" s="9" t="s">
        <v>15</v>
      </c>
      <c r="D69" s="7" t="s">
        <v>12</v>
      </c>
      <c r="E69" s="9" t="s">
        <v>886</v>
      </c>
      <c r="F69" s="9" t="s">
        <v>887</v>
      </c>
    </row>
    <row r="70" spans="1:6" s="9" customFormat="1" ht="36">
      <c r="A70" s="47">
        <v>36035</v>
      </c>
      <c r="B70" s="46" t="s">
        <v>888</v>
      </c>
      <c r="C70" s="46" t="s">
        <v>889</v>
      </c>
      <c r="D70" s="47" t="s">
        <v>728</v>
      </c>
      <c r="E70" s="46" t="s">
        <v>890</v>
      </c>
      <c r="F70" s="46" t="s">
        <v>891</v>
      </c>
    </row>
    <row r="71" spans="1:6" ht="36">
      <c r="A71" s="47">
        <v>36036</v>
      </c>
      <c r="B71" s="46" t="s">
        <v>892</v>
      </c>
      <c r="C71" s="46" t="s">
        <v>893</v>
      </c>
      <c r="D71" s="47" t="s">
        <v>571</v>
      </c>
      <c r="E71" s="46" t="s">
        <v>894</v>
      </c>
      <c r="F71" s="46" t="s">
        <v>895</v>
      </c>
    </row>
    <row r="72" spans="1:6" ht="24">
      <c r="A72" s="47">
        <v>39480</v>
      </c>
      <c r="B72" s="46" t="s">
        <v>896</v>
      </c>
      <c r="C72" s="46" t="s">
        <v>897</v>
      </c>
      <c r="D72" s="47" t="s">
        <v>728</v>
      </c>
      <c r="E72" s="46" t="s">
        <v>898</v>
      </c>
      <c r="F72" s="46" t="s">
        <v>899</v>
      </c>
    </row>
    <row r="73" spans="1:6" ht="24">
      <c r="A73" s="47">
        <v>40467</v>
      </c>
      <c r="B73" s="46" t="s">
        <v>900</v>
      </c>
      <c r="C73" s="46" t="s">
        <v>901</v>
      </c>
      <c r="D73" s="47" t="s">
        <v>728</v>
      </c>
      <c r="E73" s="46" t="s">
        <v>902</v>
      </c>
      <c r="F73" s="46" t="s">
        <v>903</v>
      </c>
    </row>
    <row r="74" spans="1:6" ht="48">
      <c r="A74" s="47">
        <v>40564</v>
      </c>
      <c r="B74" s="46" t="s">
        <v>904</v>
      </c>
      <c r="C74" s="46" t="s">
        <v>905</v>
      </c>
      <c r="D74" s="47" t="s">
        <v>692</v>
      </c>
      <c r="E74" s="46" t="s">
        <v>906</v>
      </c>
      <c r="F74" s="46" t="s">
        <v>907</v>
      </c>
    </row>
    <row r="75" spans="1:6" s="6" customFormat="1" ht="24">
      <c r="A75" s="47">
        <v>41014</v>
      </c>
      <c r="B75" s="46" t="s">
        <v>908</v>
      </c>
      <c r="C75" s="46" t="s">
        <v>909</v>
      </c>
      <c r="D75" s="47" t="s">
        <v>669</v>
      </c>
      <c r="E75" s="46" t="s">
        <v>910</v>
      </c>
      <c r="F75" s="46" t="s">
        <v>911</v>
      </c>
    </row>
    <row r="76" spans="1:6" s="6" customFormat="1" ht="60">
      <c r="A76" s="47">
        <v>41028</v>
      </c>
      <c r="B76" s="46" t="s">
        <v>912</v>
      </c>
      <c r="C76" s="46" t="s">
        <v>602</v>
      </c>
      <c r="D76" s="47" t="s">
        <v>660</v>
      </c>
      <c r="E76" s="46" t="s">
        <v>913</v>
      </c>
      <c r="F76" s="46" t="s">
        <v>914</v>
      </c>
    </row>
    <row r="77" spans="1:6">
      <c r="A77" s="47">
        <v>41980</v>
      </c>
      <c r="B77" s="46" t="s">
        <v>603</v>
      </c>
      <c r="C77" s="46" t="s">
        <v>915</v>
      </c>
      <c r="D77" s="47" t="s">
        <v>728</v>
      </c>
      <c r="E77" s="46" t="s">
        <v>890</v>
      </c>
      <c r="F77" s="46" t="s">
        <v>916</v>
      </c>
    </row>
    <row r="78" spans="1:6" ht="24">
      <c r="A78" s="47">
        <v>42052</v>
      </c>
      <c r="B78" s="46" t="s">
        <v>917</v>
      </c>
      <c r="C78" s="46" t="s">
        <v>918</v>
      </c>
      <c r="D78" s="47" t="s">
        <v>669</v>
      </c>
      <c r="E78" s="46" t="s">
        <v>902</v>
      </c>
      <c r="F78" s="46" t="s">
        <v>919</v>
      </c>
    </row>
    <row r="79" spans="1:6" ht="36">
      <c r="A79" s="47">
        <v>42053</v>
      </c>
      <c r="B79" s="46" t="s">
        <v>604</v>
      </c>
      <c r="C79" s="46" t="s">
        <v>920</v>
      </c>
      <c r="D79" s="47" t="s">
        <v>806</v>
      </c>
      <c r="E79" s="46" t="s">
        <v>605</v>
      </c>
      <c r="F79" s="46" t="s">
        <v>921</v>
      </c>
    </row>
    <row r="80" spans="1:6" s="9" customFormat="1" ht="84">
      <c r="A80" s="47">
        <v>42106</v>
      </c>
      <c r="B80" s="46" t="s">
        <v>922</v>
      </c>
      <c r="C80" s="46" t="s">
        <v>923</v>
      </c>
      <c r="D80" s="47" t="s">
        <v>692</v>
      </c>
      <c r="E80" s="46" t="s">
        <v>924</v>
      </c>
      <c r="F80" s="46" t="s">
        <v>925</v>
      </c>
    </row>
    <row r="81" spans="1:6" ht="36">
      <c r="A81" s="47">
        <v>42873</v>
      </c>
      <c r="B81" s="9" t="s">
        <v>926</v>
      </c>
      <c r="C81" s="9" t="s">
        <v>927</v>
      </c>
      <c r="D81" s="7" t="s">
        <v>728</v>
      </c>
      <c r="E81" s="9" t="s">
        <v>606</v>
      </c>
      <c r="F81" s="9" t="s">
        <v>928</v>
      </c>
    </row>
    <row r="82" spans="1:6" s="9" customFormat="1" ht="60">
      <c r="A82" s="47">
        <v>42880</v>
      </c>
      <c r="B82" s="9" t="s">
        <v>929</v>
      </c>
      <c r="C82" s="9" t="s">
        <v>930</v>
      </c>
      <c r="D82" s="7" t="s">
        <v>728</v>
      </c>
      <c r="E82" s="9" t="s">
        <v>931</v>
      </c>
      <c r="F82" s="9" t="s">
        <v>932</v>
      </c>
    </row>
    <row r="83" spans="1:6" s="9" customFormat="1" ht="36">
      <c r="A83" s="47">
        <v>42934</v>
      </c>
      <c r="B83" s="46" t="s">
        <v>933</v>
      </c>
      <c r="C83" s="46" t="s">
        <v>934</v>
      </c>
      <c r="D83" s="47" t="s">
        <v>669</v>
      </c>
      <c r="E83" s="46" t="s">
        <v>607</v>
      </c>
      <c r="F83" s="46" t="s">
        <v>935</v>
      </c>
    </row>
    <row r="84" spans="1:6" s="9" customFormat="1" ht="48">
      <c r="A84" s="47">
        <v>43156</v>
      </c>
      <c r="B84" s="46" t="s">
        <v>936</v>
      </c>
      <c r="C84" s="46" t="s">
        <v>937</v>
      </c>
      <c r="D84" s="47" t="s">
        <v>728</v>
      </c>
      <c r="E84" s="46" t="s">
        <v>938</v>
      </c>
      <c r="F84" s="46" t="s">
        <v>939</v>
      </c>
    </row>
    <row r="85" spans="1:6" s="9" customFormat="1" ht="24">
      <c r="A85" s="47">
        <v>43351</v>
      </c>
      <c r="B85" s="46" t="s">
        <v>11</v>
      </c>
      <c r="C85" s="46" t="s">
        <v>940</v>
      </c>
      <c r="D85" s="47" t="s">
        <v>728</v>
      </c>
      <c r="E85" s="46" t="s">
        <v>910</v>
      </c>
      <c r="F85" s="46" t="s">
        <v>941</v>
      </c>
    </row>
    <row r="86" spans="1:6" s="9" customFormat="1" ht="60">
      <c r="A86" s="47">
        <v>44422</v>
      </c>
      <c r="B86" s="46" t="s">
        <v>942</v>
      </c>
      <c r="C86" s="46" t="s">
        <v>608</v>
      </c>
      <c r="D86" s="47" t="s">
        <v>669</v>
      </c>
      <c r="E86" s="46" t="s">
        <v>943</v>
      </c>
      <c r="F86" s="46" t="s">
        <v>944</v>
      </c>
    </row>
    <row r="87" spans="1:6" s="9" customFormat="1" ht="24">
      <c r="A87" s="47">
        <v>44921</v>
      </c>
      <c r="B87" s="46" t="s">
        <v>945</v>
      </c>
      <c r="C87" s="46" t="s">
        <v>946</v>
      </c>
      <c r="D87" s="7" t="s">
        <v>728</v>
      </c>
      <c r="E87" s="46" t="s">
        <v>947</v>
      </c>
      <c r="F87" s="46" t="s">
        <v>948</v>
      </c>
    </row>
    <row r="88" spans="1:6" s="9" customFormat="1" ht="24">
      <c r="A88" s="47">
        <v>45004</v>
      </c>
      <c r="B88" s="46" t="s">
        <v>949</v>
      </c>
      <c r="C88" s="46" t="s">
        <v>950</v>
      </c>
      <c r="D88" s="47" t="s">
        <v>571</v>
      </c>
      <c r="E88" s="46" t="s">
        <v>951</v>
      </c>
      <c r="F88" s="46" t="s">
        <v>952</v>
      </c>
    </row>
    <row r="89" spans="1:6" ht="24">
      <c r="A89" s="47">
        <v>45411</v>
      </c>
      <c r="B89" s="9" t="s">
        <v>953</v>
      </c>
      <c r="C89" s="9" t="s">
        <v>954</v>
      </c>
      <c r="D89" s="7" t="s">
        <v>728</v>
      </c>
      <c r="E89" s="9" t="s">
        <v>955</v>
      </c>
      <c r="F89" s="9" t="s">
        <v>956</v>
      </c>
    </row>
    <row r="90" spans="1:6" s="9" customFormat="1" ht="72">
      <c r="A90" s="47">
        <v>45517</v>
      </c>
      <c r="B90" s="46" t="s">
        <v>957</v>
      </c>
      <c r="C90" s="46" t="s">
        <v>958</v>
      </c>
      <c r="D90" s="47" t="s">
        <v>728</v>
      </c>
      <c r="E90" s="46" t="s">
        <v>959</v>
      </c>
      <c r="F90" s="46" t="s">
        <v>960</v>
      </c>
    </row>
    <row r="91" spans="1:6" ht="36">
      <c r="A91" s="47">
        <v>46255</v>
      </c>
      <c r="B91" s="46" t="s">
        <v>961</v>
      </c>
      <c r="C91" s="46" t="s">
        <v>962</v>
      </c>
      <c r="D91" s="47" t="s">
        <v>669</v>
      </c>
      <c r="E91" s="46" t="s">
        <v>963</v>
      </c>
      <c r="F91" s="46" t="s">
        <v>964</v>
      </c>
    </row>
    <row r="92" spans="1:6" s="9" customFormat="1" ht="36">
      <c r="A92" s="47">
        <v>47709</v>
      </c>
      <c r="B92" s="46" t="s">
        <v>965</v>
      </c>
      <c r="C92" s="46" t="s">
        <v>553</v>
      </c>
      <c r="D92" s="47" t="s">
        <v>692</v>
      </c>
      <c r="E92" s="46" t="s">
        <v>966</v>
      </c>
      <c r="F92" s="46" t="s">
        <v>967</v>
      </c>
    </row>
    <row r="93" spans="1:6" s="9" customFormat="1" ht="24">
      <c r="A93" s="47">
        <v>48205</v>
      </c>
      <c r="B93" s="46" t="s">
        <v>968</v>
      </c>
      <c r="C93" s="46" t="s">
        <v>969</v>
      </c>
      <c r="D93" s="47" t="s">
        <v>728</v>
      </c>
      <c r="E93" s="46" t="s">
        <v>902</v>
      </c>
      <c r="F93" s="46" t="s">
        <v>970</v>
      </c>
    </row>
    <row r="94" spans="1:6" s="9" customFormat="1" ht="24">
      <c r="A94" s="47">
        <v>48244</v>
      </c>
      <c r="B94" s="46" t="s">
        <v>971</v>
      </c>
      <c r="C94" s="46" t="s">
        <v>972</v>
      </c>
      <c r="D94" s="47" t="s">
        <v>660</v>
      </c>
      <c r="E94" s="46" t="s">
        <v>910</v>
      </c>
      <c r="F94" s="46" t="s">
        <v>973</v>
      </c>
    </row>
    <row r="95" spans="1:6" s="9" customFormat="1" ht="60">
      <c r="A95" s="47">
        <v>48291</v>
      </c>
      <c r="B95" s="46" t="s">
        <v>974</v>
      </c>
      <c r="C95" s="46" t="s">
        <v>975</v>
      </c>
      <c r="D95" s="47" t="s">
        <v>692</v>
      </c>
      <c r="E95" s="46" t="s">
        <v>976</v>
      </c>
      <c r="F95" s="46" t="s">
        <v>977</v>
      </c>
    </row>
    <row r="96" spans="1:6" s="9" customFormat="1">
      <c r="A96" s="47">
        <v>48435</v>
      </c>
      <c r="B96" s="46" t="s">
        <v>978</v>
      </c>
      <c r="C96" s="46" t="s">
        <v>979</v>
      </c>
      <c r="D96" s="47" t="s">
        <v>728</v>
      </c>
      <c r="E96" s="46" t="s">
        <v>980</v>
      </c>
      <c r="F96" s="46" t="s">
        <v>981</v>
      </c>
    </row>
    <row r="97" spans="1:6" s="9" customFormat="1" ht="48">
      <c r="A97" s="47">
        <v>49219</v>
      </c>
      <c r="B97" s="46" t="s">
        <v>982</v>
      </c>
      <c r="C97" s="46" t="s">
        <v>983</v>
      </c>
      <c r="D97" s="47" t="s">
        <v>3</v>
      </c>
      <c r="E97" s="46" t="s">
        <v>984</v>
      </c>
      <c r="F97" s="46" t="s">
        <v>985</v>
      </c>
    </row>
    <row r="98" spans="1:6" ht="24">
      <c r="A98" s="47">
        <v>50070</v>
      </c>
      <c r="B98" s="46" t="s">
        <v>986</v>
      </c>
      <c r="C98" s="46" t="s">
        <v>987</v>
      </c>
      <c r="D98" s="47" t="s">
        <v>655</v>
      </c>
      <c r="E98" s="46" t="s">
        <v>902</v>
      </c>
      <c r="F98" s="46" t="s">
        <v>988</v>
      </c>
    </row>
    <row r="99" spans="1:6" s="9" customFormat="1" ht="24">
      <c r="A99" s="47">
        <v>51139</v>
      </c>
      <c r="B99" s="46" t="s">
        <v>989</v>
      </c>
      <c r="C99" s="46" t="s">
        <v>990</v>
      </c>
      <c r="D99" s="47" t="s">
        <v>655</v>
      </c>
      <c r="E99" s="46" t="s">
        <v>910</v>
      </c>
      <c r="F99" s="46" t="s">
        <v>991</v>
      </c>
    </row>
    <row r="100" spans="1:6" ht="24">
      <c r="A100" s="47">
        <v>51192</v>
      </c>
      <c r="B100" s="9" t="s">
        <v>992</v>
      </c>
      <c r="C100" s="9" t="s">
        <v>993</v>
      </c>
      <c r="D100" s="7" t="s">
        <v>728</v>
      </c>
      <c r="E100" s="9" t="s">
        <v>994</v>
      </c>
      <c r="F100" s="9" t="s">
        <v>995</v>
      </c>
    </row>
    <row r="101" spans="1:6" s="6" customFormat="1" ht="36">
      <c r="A101" s="47">
        <v>51439</v>
      </c>
      <c r="B101" s="9" t="s">
        <v>996</v>
      </c>
      <c r="C101" s="9" t="s">
        <v>997</v>
      </c>
      <c r="D101" s="7" t="s">
        <v>6</v>
      </c>
      <c r="E101" s="9" t="s">
        <v>998</v>
      </c>
      <c r="F101" s="9" t="s">
        <v>999</v>
      </c>
    </row>
    <row r="102" spans="1:6" ht="36">
      <c r="A102" s="47">
        <v>52611</v>
      </c>
      <c r="B102" s="46" t="s">
        <v>1000</v>
      </c>
      <c r="C102" s="46" t="s">
        <v>1001</v>
      </c>
      <c r="D102" s="47" t="s">
        <v>655</v>
      </c>
      <c r="E102" s="46" t="s">
        <v>1002</v>
      </c>
      <c r="F102" s="46" t="s">
        <v>1003</v>
      </c>
    </row>
    <row r="103" spans="1:6" ht="60">
      <c r="A103" s="47">
        <v>53377</v>
      </c>
      <c r="B103" s="46" t="s">
        <v>1004</v>
      </c>
      <c r="C103" s="46" t="s">
        <v>1005</v>
      </c>
      <c r="D103" s="47" t="s">
        <v>692</v>
      </c>
      <c r="E103" s="46" t="s">
        <v>1006</v>
      </c>
      <c r="F103" s="46" t="s">
        <v>1007</v>
      </c>
    </row>
    <row r="104" spans="1:6" ht="48">
      <c r="A104" s="47">
        <v>53387</v>
      </c>
      <c r="B104" s="46" t="s">
        <v>609</v>
      </c>
      <c r="C104" s="46" t="s">
        <v>1008</v>
      </c>
      <c r="D104" s="47" t="s">
        <v>669</v>
      </c>
      <c r="E104" s="46" t="s">
        <v>1009</v>
      </c>
      <c r="F104" s="46" t="s">
        <v>1010</v>
      </c>
    </row>
    <row r="105" spans="1:6" ht="60">
      <c r="A105" s="47">
        <v>53514</v>
      </c>
      <c r="B105" s="46" t="s">
        <v>1011</v>
      </c>
      <c r="C105" s="46" t="s">
        <v>1008</v>
      </c>
      <c r="D105" s="47" t="s">
        <v>692</v>
      </c>
      <c r="E105" s="46" t="s">
        <v>1009</v>
      </c>
      <c r="F105" s="46" t="s">
        <v>610</v>
      </c>
    </row>
    <row r="106" spans="1:6" ht="24">
      <c r="A106" s="47">
        <v>53896</v>
      </c>
      <c r="B106" s="46" t="s">
        <v>1012</v>
      </c>
      <c r="C106" s="46" t="s">
        <v>1013</v>
      </c>
      <c r="D106" s="47" t="s">
        <v>6</v>
      </c>
      <c r="E106" s="46" t="s">
        <v>1014</v>
      </c>
      <c r="F106" s="46" t="s">
        <v>1015</v>
      </c>
    </row>
    <row r="107" spans="1:6" s="6" customFormat="1" ht="48">
      <c r="A107" s="47">
        <v>54585</v>
      </c>
      <c r="B107" s="9" t="s">
        <v>1016</v>
      </c>
      <c r="C107" s="9" t="s">
        <v>1017</v>
      </c>
      <c r="D107" s="7" t="s">
        <v>13</v>
      </c>
      <c r="E107" s="9" t="s">
        <v>1018</v>
      </c>
      <c r="F107" s="9" t="s">
        <v>611</v>
      </c>
    </row>
    <row r="108" spans="1:6" ht="48">
      <c r="A108" s="47">
        <v>55128</v>
      </c>
      <c r="B108" s="46" t="s">
        <v>1019</v>
      </c>
      <c r="C108" s="46" t="s">
        <v>1020</v>
      </c>
      <c r="D108" s="47" t="s">
        <v>660</v>
      </c>
      <c r="E108" s="46" t="s">
        <v>1021</v>
      </c>
      <c r="F108" s="46" t="s">
        <v>1022</v>
      </c>
    </row>
    <row r="109" spans="1:6" ht="36">
      <c r="A109" s="47">
        <v>55786</v>
      </c>
      <c r="B109" s="46" t="s">
        <v>1023</v>
      </c>
      <c r="C109" s="46" t="s">
        <v>1024</v>
      </c>
      <c r="D109" s="47" t="s">
        <v>692</v>
      </c>
      <c r="E109" s="46" t="s">
        <v>1025</v>
      </c>
      <c r="F109" s="46" t="s">
        <v>1026</v>
      </c>
    </row>
    <row r="110" spans="1:6" s="6" customFormat="1" ht="36">
      <c r="A110" s="47">
        <v>55976</v>
      </c>
      <c r="B110" s="9" t="s">
        <v>1027</v>
      </c>
      <c r="C110" s="9" t="s">
        <v>1028</v>
      </c>
      <c r="D110" s="7" t="s">
        <v>13</v>
      </c>
      <c r="E110" s="9" t="s">
        <v>1029</v>
      </c>
      <c r="F110" s="9" t="s">
        <v>1030</v>
      </c>
    </row>
    <row r="111" spans="1:6" ht="48">
      <c r="A111" s="47">
        <v>56210</v>
      </c>
      <c r="B111" s="46" t="s">
        <v>1031</v>
      </c>
      <c r="C111" s="46" t="s">
        <v>1032</v>
      </c>
      <c r="D111" s="47" t="s">
        <v>728</v>
      </c>
      <c r="E111" s="46" t="s">
        <v>1033</v>
      </c>
      <c r="F111" s="46" t="s">
        <v>1034</v>
      </c>
    </row>
    <row r="112" spans="1:6" ht="24">
      <c r="A112" s="47">
        <v>56216</v>
      </c>
      <c r="B112" s="46" t="s">
        <v>1035</v>
      </c>
      <c r="C112" s="46" t="s">
        <v>1036</v>
      </c>
      <c r="D112" s="47" t="s">
        <v>728</v>
      </c>
      <c r="E112" s="46" t="s">
        <v>612</v>
      </c>
      <c r="F112" s="46" t="s">
        <v>1037</v>
      </c>
    </row>
    <row r="113" spans="1:6" ht="24">
      <c r="A113" s="47">
        <v>57537</v>
      </c>
      <c r="B113" s="46" t="s">
        <v>1038</v>
      </c>
      <c r="C113" s="46" t="s">
        <v>1039</v>
      </c>
      <c r="D113" s="47" t="s">
        <v>669</v>
      </c>
      <c r="E113" s="46" t="s">
        <v>910</v>
      </c>
      <c r="F113" s="46" t="s">
        <v>1040</v>
      </c>
    </row>
    <row r="114" spans="1:6" ht="36">
      <c r="A114" s="47">
        <v>57582</v>
      </c>
      <c r="B114" s="46" t="s">
        <v>1041</v>
      </c>
      <c r="C114" s="46" t="s">
        <v>1042</v>
      </c>
      <c r="D114" s="47" t="s">
        <v>728</v>
      </c>
      <c r="E114" s="46" t="s">
        <v>1043</v>
      </c>
      <c r="F114" s="46" t="s">
        <v>1044</v>
      </c>
    </row>
    <row r="115" spans="1:6" ht="24">
      <c r="A115" s="47">
        <v>57603</v>
      </c>
      <c r="B115" s="46" t="s">
        <v>1045</v>
      </c>
      <c r="C115" s="46" t="s">
        <v>1046</v>
      </c>
      <c r="D115" s="47" t="s">
        <v>692</v>
      </c>
      <c r="E115" s="46" t="s">
        <v>1047</v>
      </c>
      <c r="F115" s="46" t="s">
        <v>1048</v>
      </c>
    </row>
    <row r="116" spans="1:6" ht="72">
      <c r="A116" s="47">
        <v>57608</v>
      </c>
      <c r="B116" s="46" t="s">
        <v>1049</v>
      </c>
      <c r="C116" s="46" t="s">
        <v>1050</v>
      </c>
      <c r="D116" s="47" t="s">
        <v>728</v>
      </c>
      <c r="E116" s="46" t="s">
        <v>1051</v>
      </c>
      <c r="F116" s="46" t="s">
        <v>1052</v>
      </c>
    </row>
    <row r="117" spans="1:6" ht="36">
      <c r="A117" s="47">
        <v>57690</v>
      </c>
      <c r="B117" s="46" t="s">
        <v>1053</v>
      </c>
      <c r="C117" s="46" t="s">
        <v>1054</v>
      </c>
      <c r="D117" s="47" t="s">
        <v>728</v>
      </c>
      <c r="E117" s="46" t="s">
        <v>1055</v>
      </c>
      <c r="F117" s="46" t="s">
        <v>1056</v>
      </c>
    </row>
    <row r="118" spans="1:6" ht="24">
      <c r="A118" s="47">
        <v>57791</v>
      </c>
      <c r="B118" s="46" t="s">
        <v>1057</v>
      </c>
      <c r="C118" s="46" t="s">
        <v>1058</v>
      </c>
      <c r="D118" s="47" t="s">
        <v>728</v>
      </c>
      <c r="E118" s="46" t="s">
        <v>902</v>
      </c>
      <c r="F118" s="46" t="s">
        <v>1059</v>
      </c>
    </row>
    <row r="119" spans="1:6" ht="72">
      <c r="A119" s="47">
        <v>57792</v>
      </c>
      <c r="B119" s="46" t="s">
        <v>1060</v>
      </c>
      <c r="C119" s="46" t="s">
        <v>613</v>
      </c>
      <c r="D119" s="47" t="s">
        <v>728</v>
      </c>
      <c r="E119" s="46" t="s">
        <v>1061</v>
      </c>
      <c r="F119" s="46" t="s">
        <v>1062</v>
      </c>
    </row>
    <row r="120" spans="1:6" ht="84">
      <c r="A120" s="47">
        <v>58435</v>
      </c>
      <c r="B120" s="46" t="s">
        <v>1063</v>
      </c>
      <c r="C120" s="46" t="s">
        <v>1064</v>
      </c>
      <c r="D120" s="47" t="s">
        <v>669</v>
      </c>
      <c r="E120" s="46" t="s">
        <v>1065</v>
      </c>
      <c r="F120" s="46" t="s">
        <v>1066</v>
      </c>
    </row>
    <row r="121" spans="1:6" ht="72">
      <c r="A121" s="47">
        <v>58453</v>
      </c>
      <c r="B121" s="9" t="s">
        <v>1067</v>
      </c>
      <c r="C121" s="9" t="s">
        <v>1068</v>
      </c>
      <c r="D121" s="7" t="s">
        <v>655</v>
      </c>
      <c r="E121" s="9" t="s">
        <v>1069</v>
      </c>
      <c r="F121" s="9" t="s">
        <v>1070</v>
      </c>
    </row>
    <row r="122" spans="1:6" ht="24">
      <c r="A122" s="47">
        <v>58966</v>
      </c>
      <c r="B122" s="46" t="s">
        <v>1071</v>
      </c>
      <c r="C122" s="46" t="s">
        <v>1072</v>
      </c>
      <c r="D122" s="47" t="s">
        <v>669</v>
      </c>
      <c r="E122" s="46" t="s">
        <v>910</v>
      </c>
      <c r="F122" s="46" t="s">
        <v>1073</v>
      </c>
    </row>
    <row r="123" spans="1:6" ht="24">
      <c r="A123" s="47">
        <v>58967</v>
      </c>
      <c r="B123" s="46" t="s">
        <v>1074</v>
      </c>
      <c r="C123" s="46" t="s">
        <v>1075</v>
      </c>
      <c r="D123" s="47" t="s">
        <v>728</v>
      </c>
      <c r="E123" s="46" t="s">
        <v>1076</v>
      </c>
      <c r="F123" s="46" t="s">
        <v>1077</v>
      </c>
    </row>
    <row r="124" spans="1:6" ht="36">
      <c r="A124" s="47">
        <v>58987</v>
      </c>
      <c r="B124" s="46" t="s">
        <v>10</v>
      </c>
      <c r="C124" s="46" t="s">
        <v>1078</v>
      </c>
      <c r="D124" s="47" t="s">
        <v>692</v>
      </c>
      <c r="E124" s="46" t="s">
        <v>1079</v>
      </c>
      <c r="F124" s="46" t="s">
        <v>1080</v>
      </c>
    </row>
    <row r="125" spans="1:6" ht="36">
      <c r="A125" s="47">
        <v>58988</v>
      </c>
      <c r="B125" s="46" t="s">
        <v>1081</v>
      </c>
      <c r="C125" s="46" t="s">
        <v>1082</v>
      </c>
      <c r="D125" s="47" t="s">
        <v>660</v>
      </c>
      <c r="E125" s="46" t="s">
        <v>1083</v>
      </c>
      <c r="F125" s="46" t="s">
        <v>1084</v>
      </c>
    </row>
    <row r="126" spans="1:6" ht="24">
      <c r="A126" s="47">
        <v>59057</v>
      </c>
      <c r="B126" s="46" t="s">
        <v>1085</v>
      </c>
      <c r="C126" s="46" t="s">
        <v>1086</v>
      </c>
      <c r="D126" s="47" t="s">
        <v>660</v>
      </c>
      <c r="E126" s="46" t="s">
        <v>1087</v>
      </c>
      <c r="F126" s="46" t="s">
        <v>1088</v>
      </c>
    </row>
    <row r="127" spans="1:6" ht="60">
      <c r="A127" s="47">
        <v>59447</v>
      </c>
      <c r="B127" s="46" t="s">
        <v>1089</v>
      </c>
      <c r="C127" s="46" t="s">
        <v>1090</v>
      </c>
      <c r="D127" s="47" t="s">
        <v>669</v>
      </c>
      <c r="E127" s="46" t="s">
        <v>1091</v>
      </c>
      <c r="F127" s="46" t="s">
        <v>1092</v>
      </c>
    </row>
    <row r="128" spans="1:6" ht="24">
      <c r="A128" s="47">
        <v>59530</v>
      </c>
      <c r="B128" s="46" t="s">
        <v>1093</v>
      </c>
      <c r="C128" s="46" t="s">
        <v>614</v>
      </c>
      <c r="D128" s="47" t="s">
        <v>669</v>
      </c>
      <c r="E128" s="46" t="s">
        <v>1087</v>
      </c>
      <c r="F128" s="46" t="s">
        <v>1094</v>
      </c>
    </row>
    <row r="129" spans="1:6" ht="48">
      <c r="A129" s="47">
        <v>60086</v>
      </c>
      <c r="B129" s="46" t="s">
        <v>1095</v>
      </c>
      <c r="C129" s="46" t="s">
        <v>1096</v>
      </c>
      <c r="D129" s="47" t="s">
        <v>692</v>
      </c>
      <c r="E129" s="46" t="s">
        <v>1097</v>
      </c>
      <c r="F129" s="46" t="s">
        <v>1098</v>
      </c>
    </row>
    <row r="130" spans="1:6" ht="36">
      <c r="A130" s="47">
        <v>60108</v>
      </c>
      <c r="B130" s="9" t="s">
        <v>1099</v>
      </c>
      <c r="C130" s="9" t="s">
        <v>1100</v>
      </c>
      <c r="D130" s="7" t="s">
        <v>12</v>
      </c>
      <c r="E130" s="9" t="s">
        <v>1101</v>
      </c>
      <c r="F130" s="9" t="s">
        <v>615</v>
      </c>
    </row>
    <row r="131" spans="1:6" ht="24">
      <c r="A131" s="47">
        <v>62101</v>
      </c>
      <c r="B131" s="46" t="s">
        <v>1102</v>
      </c>
      <c r="C131" s="46" t="s">
        <v>1103</v>
      </c>
      <c r="D131" s="47" t="s">
        <v>728</v>
      </c>
      <c r="E131" s="46" t="s">
        <v>902</v>
      </c>
      <c r="F131" s="46" t="s">
        <v>1104</v>
      </c>
    </row>
    <row r="132" spans="1:6" ht="96">
      <c r="A132" s="47">
        <v>62565</v>
      </c>
      <c r="B132" s="46" t="s">
        <v>1105</v>
      </c>
      <c r="C132" s="46" t="s">
        <v>1106</v>
      </c>
      <c r="D132" s="47" t="s">
        <v>12</v>
      </c>
      <c r="E132" s="46" t="s">
        <v>1107</v>
      </c>
      <c r="F132" s="46" t="s">
        <v>1108</v>
      </c>
    </row>
    <row r="133" spans="1:6" ht="60">
      <c r="A133" s="47">
        <v>62940</v>
      </c>
      <c r="B133" s="9" t="s">
        <v>1109</v>
      </c>
      <c r="C133" s="9" t="s">
        <v>1110</v>
      </c>
      <c r="D133" s="7" t="s">
        <v>6</v>
      </c>
      <c r="E133" s="9" t="s">
        <v>1111</v>
      </c>
      <c r="F133" s="9" t="s">
        <v>1112</v>
      </c>
    </row>
    <row r="134" spans="1:6" ht="72">
      <c r="A134" s="47">
        <v>63265</v>
      </c>
      <c r="B134" s="46" t="s">
        <v>1113</v>
      </c>
      <c r="C134" s="46" t="s">
        <v>1114</v>
      </c>
      <c r="D134" s="47" t="s">
        <v>692</v>
      </c>
      <c r="E134" s="46" t="s">
        <v>1115</v>
      </c>
      <c r="F134" s="46" t="s">
        <v>1116</v>
      </c>
    </row>
    <row r="135" spans="1:6" ht="48">
      <c r="A135" s="47">
        <v>63424</v>
      </c>
      <c r="B135" s="46" t="s">
        <v>1117</v>
      </c>
      <c r="C135" s="46" t="s">
        <v>1118</v>
      </c>
      <c r="D135" s="47" t="s">
        <v>728</v>
      </c>
      <c r="E135" s="46" t="s">
        <v>1119</v>
      </c>
      <c r="F135" s="46" t="s">
        <v>1120</v>
      </c>
    </row>
    <row r="136" spans="1:6" ht="36">
      <c r="A136" s="47">
        <v>64912</v>
      </c>
      <c r="B136" s="46" t="s">
        <v>1121</v>
      </c>
      <c r="C136" s="46" t="s">
        <v>1122</v>
      </c>
      <c r="D136" s="47" t="s">
        <v>728</v>
      </c>
      <c r="E136" s="46" t="s">
        <v>1123</v>
      </c>
      <c r="F136" s="46" t="s">
        <v>1124</v>
      </c>
    </row>
    <row r="137" spans="1:6" ht="24">
      <c r="A137" s="47">
        <v>64993</v>
      </c>
      <c r="B137" s="46" t="s">
        <v>1125</v>
      </c>
      <c r="C137" s="46" t="s">
        <v>1126</v>
      </c>
      <c r="D137" s="47" t="s">
        <v>728</v>
      </c>
      <c r="E137" s="46" t="s">
        <v>1076</v>
      </c>
      <c r="F137" s="46" t="s">
        <v>1127</v>
      </c>
    </row>
    <row r="138" spans="1:6" ht="96">
      <c r="A138" s="47">
        <v>65209</v>
      </c>
      <c r="B138" s="9" t="s">
        <v>1128</v>
      </c>
      <c r="C138" s="9" t="s">
        <v>1129</v>
      </c>
      <c r="D138" s="7" t="s">
        <v>13</v>
      </c>
      <c r="E138" s="9" t="s">
        <v>1130</v>
      </c>
      <c r="F138" s="9" t="s">
        <v>1131</v>
      </c>
    </row>
    <row r="139" spans="1:6" ht="36">
      <c r="A139" s="47">
        <v>65255</v>
      </c>
      <c r="B139" s="9" t="s">
        <v>1132</v>
      </c>
      <c r="C139" s="9" t="s">
        <v>1133</v>
      </c>
      <c r="D139" s="7" t="s">
        <v>14</v>
      </c>
      <c r="E139" s="9" t="s">
        <v>1134</v>
      </c>
      <c r="F139" s="9" t="s">
        <v>1135</v>
      </c>
    </row>
    <row r="140" spans="1:6" ht="60">
      <c r="A140" s="47">
        <v>65256</v>
      </c>
      <c r="B140" s="46" t="s">
        <v>1136</v>
      </c>
      <c r="C140" s="46" t="s">
        <v>1137</v>
      </c>
      <c r="D140" s="47" t="s">
        <v>728</v>
      </c>
      <c r="E140" s="46" t="s">
        <v>1138</v>
      </c>
      <c r="F140" s="46" t="s">
        <v>616</v>
      </c>
    </row>
    <row r="141" spans="1:6" ht="36">
      <c r="A141" s="47">
        <v>66239</v>
      </c>
      <c r="B141" s="9" t="s">
        <v>1139</v>
      </c>
      <c r="C141" s="9" t="s">
        <v>1140</v>
      </c>
      <c r="D141" s="7" t="s">
        <v>14</v>
      </c>
      <c r="E141" s="9" t="s">
        <v>1141</v>
      </c>
      <c r="F141" s="9" t="s">
        <v>1142</v>
      </c>
    </row>
    <row r="142" spans="1:6" ht="24">
      <c r="A142" s="47">
        <v>66240</v>
      </c>
      <c r="B142" s="9" t="s">
        <v>1143</v>
      </c>
      <c r="C142" s="9" t="s">
        <v>1144</v>
      </c>
      <c r="D142" s="7" t="s">
        <v>12</v>
      </c>
      <c r="E142" s="9" t="s">
        <v>617</v>
      </c>
      <c r="F142" s="9" t="s">
        <v>1145</v>
      </c>
    </row>
    <row r="143" spans="1:6" ht="24">
      <c r="A143" s="47">
        <v>66585</v>
      </c>
      <c r="B143" s="46" t="s">
        <v>618</v>
      </c>
      <c r="C143" s="46" t="s">
        <v>1146</v>
      </c>
      <c r="D143" s="47" t="s">
        <v>6</v>
      </c>
      <c r="E143" s="46" t="s">
        <v>1076</v>
      </c>
      <c r="F143" s="46" t="s">
        <v>1147</v>
      </c>
    </row>
    <row r="144" spans="1:6" ht="36">
      <c r="A144" s="47">
        <v>66806</v>
      </c>
      <c r="B144" s="9" t="s">
        <v>1148</v>
      </c>
      <c r="C144" s="9" t="s">
        <v>1149</v>
      </c>
      <c r="D144" s="7" t="s">
        <v>14</v>
      </c>
      <c r="E144" s="9" t="s">
        <v>1150</v>
      </c>
      <c r="F144" s="9" t="s">
        <v>1151</v>
      </c>
    </row>
    <row r="145" spans="1:6" ht="36">
      <c r="A145" s="47">
        <v>66812</v>
      </c>
      <c r="B145" s="9" t="s">
        <v>1152</v>
      </c>
      <c r="C145" s="9" t="s">
        <v>1153</v>
      </c>
      <c r="D145" s="7" t="s">
        <v>13</v>
      </c>
      <c r="E145" s="9" t="s">
        <v>619</v>
      </c>
      <c r="F145" s="9" t="s">
        <v>1154</v>
      </c>
    </row>
    <row r="146" spans="1:6" ht="24">
      <c r="A146" s="47">
        <v>66843</v>
      </c>
      <c r="B146" s="46" t="s">
        <v>1155</v>
      </c>
      <c r="C146" s="46" t="s">
        <v>1156</v>
      </c>
      <c r="D146" s="47" t="s">
        <v>669</v>
      </c>
      <c r="E146" s="46" t="s">
        <v>1076</v>
      </c>
      <c r="F146" s="46" t="s">
        <v>1157</v>
      </c>
    </row>
    <row r="147" spans="1:6" ht="36">
      <c r="A147" s="47">
        <v>67192</v>
      </c>
      <c r="B147" s="9" t="s">
        <v>620</v>
      </c>
      <c r="C147" s="9" t="s">
        <v>1158</v>
      </c>
      <c r="D147" s="7" t="s">
        <v>13</v>
      </c>
      <c r="E147" s="9" t="s">
        <v>1159</v>
      </c>
      <c r="F147" s="9" t="s">
        <v>1160</v>
      </c>
    </row>
    <row r="148" spans="1:6" ht="36">
      <c r="A148" s="47">
        <v>67260</v>
      </c>
      <c r="B148" s="46" t="s">
        <v>1161</v>
      </c>
      <c r="C148" s="46" t="s">
        <v>1162</v>
      </c>
      <c r="D148" s="47" t="s">
        <v>669</v>
      </c>
      <c r="E148" s="12" t="s">
        <v>1163</v>
      </c>
      <c r="F148" s="46" t="s">
        <v>16</v>
      </c>
    </row>
    <row r="149" spans="1:6" ht="24">
      <c r="A149" s="47">
        <v>68915</v>
      </c>
      <c r="B149" s="46" t="s">
        <v>1164</v>
      </c>
      <c r="C149" s="46" t="s">
        <v>1165</v>
      </c>
      <c r="D149" s="47" t="s">
        <v>728</v>
      </c>
      <c r="E149" s="46" t="s">
        <v>1166</v>
      </c>
      <c r="F149" s="46" t="s">
        <v>1167</v>
      </c>
    </row>
    <row r="150" spans="1:6" ht="36">
      <c r="A150" s="47">
        <v>69020</v>
      </c>
      <c r="B150" s="46" t="s">
        <v>1168</v>
      </c>
      <c r="C150" s="46" t="s">
        <v>1169</v>
      </c>
      <c r="D150" s="47" t="s">
        <v>3</v>
      </c>
      <c r="E150" s="46" t="s">
        <v>1170</v>
      </c>
      <c r="F150" s="46" t="s">
        <v>1171</v>
      </c>
    </row>
    <row r="151" spans="1:6" ht="36">
      <c r="A151" s="47">
        <v>69060</v>
      </c>
      <c r="B151" s="9" t="s">
        <v>1172</v>
      </c>
      <c r="C151" s="9" t="s">
        <v>1173</v>
      </c>
      <c r="D151" s="7" t="s">
        <v>728</v>
      </c>
      <c r="E151" s="9" t="s">
        <v>1174</v>
      </c>
      <c r="F151" s="9" t="s">
        <v>1175</v>
      </c>
    </row>
    <row r="152" spans="1:6" ht="24">
      <c r="A152" s="47">
        <v>69401</v>
      </c>
      <c r="B152" s="46" t="s">
        <v>1176</v>
      </c>
      <c r="C152" s="46" t="s">
        <v>1177</v>
      </c>
      <c r="D152" s="47" t="s">
        <v>669</v>
      </c>
      <c r="E152" s="46" t="s">
        <v>1076</v>
      </c>
      <c r="F152" s="46" t="s">
        <v>1178</v>
      </c>
    </row>
    <row r="153" spans="1:6" ht="96">
      <c r="A153" s="47">
        <v>69552</v>
      </c>
      <c r="B153" s="46" t="s">
        <v>1179</v>
      </c>
      <c r="C153" s="46" t="s">
        <v>1180</v>
      </c>
      <c r="D153" s="47" t="s">
        <v>669</v>
      </c>
      <c r="E153" s="46" t="s">
        <v>1181</v>
      </c>
      <c r="F153" s="46" t="s">
        <v>1182</v>
      </c>
    </row>
    <row r="154" spans="1:6" ht="120">
      <c r="A154" s="47">
        <v>70414</v>
      </c>
      <c r="B154" s="9" t="s">
        <v>1183</v>
      </c>
      <c r="C154" s="9" t="s">
        <v>1184</v>
      </c>
      <c r="D154" s="7" t="s">
        <v>14</v>
      </c>
      <c r="E154" s="9" t="s">
        <v>1185</v>
      </c>
      <c r="F154" s="9" t="s">
        <v>621</v>
      </c>
    </row>
    <row r="155" spans="1:6" ht="36">
      <c r="A155" s="47">
        <v>70742</v>
      </c>
      <c r="B155" s="9" t="s">
        <v>1186</v>
      </c>
      <c r="C155" s="9" t="s">
        <v>1187</v>
      </c>
      <c r="D155" s="7" t="s">
        <v>13</v>
      </c>
      <c r="E155" s="9" t="s">
        <v>1188</v>
      </c>
      <c r="F155" s="9" t="s">
        <v>1189</v>
      </c>
    </row>
    <row r="156" spans="1:6" ht="48">
      <c r="A156" s="47">
        <v>70877</v>
      </c>
      <c r="B156" s="46" t="s">
        <v>1190</v>
      </c>
      <c r="C156" s="46" t="s">
        <v>1191</v>
      </c>
      <c r="D156" s="47" t="s">
        <v>728</v>
      </c>
      <c r="E156" s="46" t="s">
        <v>1192</v>
      </c>
      <c r="F156" s="46" t="s">
        <v>1193</v>
      </c>
    </row>
    <row r="157" spans="1:6" ht="36">
      <c r="A157" s="47">
        <v>70878</v>
      </c>
      <c r="B157" s="46" t="s">
        <v>1194</v>
      </c>
      <c r="C157" s="46" t="s">
        <v>1195</v>
      </c>
      <c r="D157" s="47" t="s">
        <v>728</v>
      </c>
      <c r="E157" s="46" t="s">
        <v>1196</v>
      </c>
      <c r="F157" s="46" t="s">
        <v>1197</v>
      </c>
    </row>
    <row r="158" spans="1:6" ht="108">
      <c r="A158" s="47">
        <v>70879</v>
      </c>
      <c r="B158" s="46" t="s">
        <v>1198</v>
      </c>
      <c r="C158" s="46" t="s">
        <v>1199</v>
      </c>
      <c r="D158" s="47" t="s">
        <v>669</v>
      </c>
      <c r="E158" s="46" t="s">
        <v>1200</v>
      </c>
      <c r="F158" s="46" t="s">
        <v>1201</v>
      </c>
    </row>
    <row r="159" spans="1:6" ht="36">
      <c r="A159" s="47">
        <v>70880</v>
      </c>
      <c r="B159" s="46" t="s">
        <v>1202</v>
      </c>
      <c r="C159" s="46" t="s">
        <v>1203</v>
      </c>
      <c r="D159" s="47" t="s">
        <v>669</v>
      </c>
      <c r="E159" s="46" t="s">
        <v>1204</v>
      </c>
      <c r="F159" s="46" t="s">
        <v>1205</v>
      </c>
    </row>
    <row r="160" spans="1:6" ht="48">
      <c r="A160" s="47">
        <v>70881</v>
      </c>
      <c r="B160" s="46" t="s">
        <v>1206</v>
      </c>
      <c r="C160" s="46" t="s">
        <v>1207</v>
      </c>
      <c r="D160" s="47" t="s">
        <v>728</v>
      </c>
      <c r="E160" s="46" t="s">
        <v>1204</v>
      </c>
      <c r="F160" s="46" t="s">
        <v>1208</v>
      </c>
    </row>
    <row r="161" spans="1:6" ht="48">
      <c r="A161" s="47">
        <v>70882</v>
      </c>
      <c r="B161" s="46" t="s">
        <v>1209</v>
      </c>
      <c r="C161" s="46" t="s">
        <v>1210</v>
      </c>
      <c r="D161" s="47" t="s">
        <v>669</v>
      </c>
      <c r="E161" s="46" t="s">
        <v>1204</v>
      </c>
      <c r="F161" s="46" t="s">
        <v>623</v>
      </c>
    </row>
    <row r="162" spans="1:6" ht="36">
      <c r="A162" s="47">
        <v>70883</v>
      </c>
      <c r="B162" s="46" t="s">
        <v>1211</v>
      </c>
      <c r="C162" s="46" t="s">
        <v>1212</v>
      </c>
      <c r="D162" s="47" t="s">
        <v>669</v>
      </c>
      <c r="E162" s="46" t="s">
        <v>1204</v>
      </c>
      <c r="F162" s="46" t="s">
        <v>1213</v>
      </c>
    </row>
    <row r="163" spans="1:6" ht="36">
      <c r="A163" s="47">
        <v>70884</v>
      </c>
      <c r="B163" s="46" t="s">
        <v>624</v>
      </c>
      <c r="C163" s="46" t="s">
        <v>1214</v>
      </c>
      <c r="D163" s="47" t="s">
        <v>669</v>
      </c>
      <c r="E163" s="46" t="s">
        <v>1204</v>
      </c>
      <c r="F163" s="46" t="s">
        <v>1215</v>
      </c>
    </row>
    <row r="164" spans="1:6" ht="36">
      <c r="A164" s="47">
        <v>70885</v>
      </c>
      <c r="B164" s="46" t="s">
        <v>1216</v>
      </c>
      <c r="C164" s="46" t="s">
        <v>1217</v>
      </c>
      <c r="D164" s="47" t="s">
        <v>669</v>
      </c>
      <c r="E164" s="46" t="s">
        <v>1204</v>
      </c>
      <c r="F164" s="46" t="s">
        <v>1218</v>
      </c>
    </row>
    <row r="165" spans="1:6" ht="72">
      <c r="A165" s="47">
        <v>71427</v>
      </c>
      <c r="B165" s="46" t="s">
        <v>1219</v>
      </c>
      <c r="C165" s="46" t="s">
        <v>1220</v>
      </c>
      <c r="D165" s="47" t="s">
        <v>6</v>
      </c>
      <c r="E165" s="46" t="s">
        <v>1221</v>
      </c>
      <c r="F165" s="46" t="s">
        <v>1222</v>
      </c>
    </row>
    <row r="166" spans="1:6" ht="36">
      <c r="A166" s="47">
        <v>71858</v>
      </c>
      <c r="B166" s="9" t="s">
        <v>625</v>
      </c>
      <c r="C166" s="9" t="s">
        <v>1223</v>
      </c>
      <c r="D166" s="7" t="s">
        <v>12</v>
      </c>
      <c r="E166" s="9" t="s">
        <v>626</v>
      </c>
      <c r="F166" s="9" t="s">
        <v>1224</v>
      </c>
    </row>
    <row r="167" spans="1:6" ht="36">
      <c r="A167" s="47">
        <v>71863</v>
      </c>
      <c r="B167" s="9" t="s">
        <v>1225</v>
      </c>
      <c r="C167" s="9" t="s">
        <v>1226</v>
      </c>
      <c r="D167" s="7" t="s">
        <v>728</v>
      </c>
      <c r="E167" s="9" t="s">
        <v>1227</v>
      </c>
      <c r="F167" s="9" t="s">
        <v>1228</v>
      </c>
    </row>
    <row r="168" spans="1:6" ht="36">
      <c r="A168" s="47">
        <v>71889</v>
      </c>
      <c r="B168" s="9" t="s">
        <v>1229</v>
      </c>
      <c r="C168" s="9" t="s">
        <v>1230</v>
      </c>
      <c r="D168" s="7" t="s">
        <v>13</v>
      </c>
      <c r="E168" s="9" t="s">
        <v>627</v>
      </c>
      <c r="F168" s="9" t="s">
        <v>1231</v>
      </c>
    </row>
    <row r="169" spans="1:6" ht="24">
      <c r="A169" s="47">
        <v>71927</v>
      </c>
      <c r="B169" s="46" t="s">
        <v>1232</v>
      </c>
      <c r="C169" s="46" t="s">
        <v>1233</v>
      </c>
      <c r="D169" s="47" t="s">
        <v>728</v>
      </c>
      <c r="E169" s="46" t="s">
        <v>1076</v>
      </c>
      <c r="F169" s="46" t="s">
        <v>1234</v>
      </c>
    </row>
    <row r="170" spans="1:6" ht="36">
      <c r="A170" s="47">
        <v>72658</v>
      </c>
      <c r="B170" s="9" t="s">
        <v>7</v>
      </c>
      <c r="C170" s="9" t="s">
        <v>1235</v>
      </c>
      <c r="D170" s="7" t="s">
        <v>728</v>
      </c>
      <c r="E170" s="9" t="s">
        <v>1236</v>
      </c>
      <c r="F170" s="9" t="s">
        <v>1237</v>
      </c>
    </row>
    <row r="171" spans="1:6" ht="24">
      <c r="A171" s="47">
        <v>72802</v>
      </c>
      <c r="B171" s="9" t="s">
        <v>1238</v>
      </c>
      <c r="C171" s="9" t="s">
        <v>1239</v>
      </c>
      <c r="D171" s="7" t="s">
        <v>13</v>
      </c>
      <c r="E171" s="9" t="s">
        <v>1240</v>
      </c>
      <c r="F171" s="9" t="s">
        <v>1241</v>
      </c>
    </row>
    <row r="172" spans="1:6" ht="60">
      <c r="A172" s="47">
        <v>72836</v>
      </c>
      <c r="B172" s="9" t="s">
        <v>1242</v>
      </c>
      <c r="C172" s="9" t="s">
        <v>1243</v>
      </c>
      <c r="D172" s="7" t="s">
        <v>14</v>
      </c>
      <c r="E172" s="9" t="s">
        <v>1244</v>
      </c>
      <c r="F172" s="9" t="s">
        <v>1245</v>
      </c>
    </row>
    <row r="173" spans="1:6" ht="60">
      <c r="A173" s="47">
        <v>72837</v>
      </c>
      <c r="B173" s="9" t="s">
        <v>1246</v>
      </c>
      <c r="C173" s="9" t="s">
        <v>1247</v>
      </c>
      <c r="D173" s="7" t="s">
        <v>12</v>
      </c>
      <c r="E173" s="9" t="s">
        <v>1248</v>
      </c>
      <c r="F173" s="9" t="s">
        <v>1249</v>
      </c>
    </row>
    <row r="174" spans="1:6" ht="24">
      <c r="A174" s="47">
        <v>72881</v>
      </c>
      <c r="B174" s="46" t="s">
        <v>1250</v>
      </c>
      <c r="C174" s="46" t="s">
        <v>17</v>
      </c>
      <c r="D174" s="47" t="s">
        <v>669</v>
      </c>
      <c r="E174" s="46" t="s">
        <v>1076</v>
      </c>
      <c r="F174" s="46" t="s">
        <v>18</v>
      </c>
    </row>
    <row r="175" spans="1:6" ht="48">
      <c r="A175" s="47">
        <v>73289</v>
      </c>
      <c r="B175" s="9" t="s">
        <v>1251</v>
      </c>
      <c r="C175" s="9" t="s">
        <v>1252</v>
      </c>
      <c r="D175" s="7" t="s">
        <v>655</v>
      </c>
      <c r="E175" s="9" t="s">
        <v>1253</v>
      </c>
      <c r="F175" s="9" t="s">
        <v>1254</v>
      </c>
    </row>
    <row r="176" spans="1:6" ht="84">
      <c r="A176" s="47">
        <v>73338</v>
      </c>
      <c r="B176" s="46" t="s">
        <v>1255</v>
      </c>
      <c r="C176" s="46" t="s">
        <v>1256</v>
      </c>
      <c r="D176" s="47" t="s">
        <v>728</v>
      </c>
      <c r="E176" s="46" t="s">
        <v>1257</v>
      </c>
      <c r="F176" s="46" t="s">
        <v>19</v>
      </c>
    </row>
    <row r="177" spans="1:6" ht="24">
      <c r="A177" s="47">
        <v>73405</v>
      </c>
      <c r="B177" s="46" t="s">
        <v>1258</v>
      </c>
      <c r="C177" s="46" t="s">
        <v>1259</v>
      </c>
      <c r="D177" s="47" t="s">
        <v>728</v>
      </c>
      <c r="E177" s="46" t="s">
        <v>910</v>
      </c>
      <c r="F177" s="46" t="s">
        <v>1260</v>
      </c>
    </row>
    <row r="178" spans="1:6" ht="48">
      <c r="A178" s="47">
        <v>73412</v>
      </c>
      <c r="B178" s="46" t="s">
        <v>1261</v>
      </c>
      <c r="C178" s="46" t="s">
        <v>1262</v>
      </c>
      <c r="D178" s="47" t="s">
        <v>669</v>
      </c>
      <c r="E178" s="46" t="s">
        <v>1263</v>
      </c>
      <c r="F178" s="46" t="s">
        <v>1264</v>
      </c>
    </row>
    <row r="179" spans="1:6" ht="96">
      <c r="A179" s="47">
        <v>73862</v>
      </c>
      <c r="B179" s="46" t="s">
        <v>1265</v>
      </c>
      <c r="C179" s="46" t="s">
        <v>1266</v>
      </c>
      <c r="D179" s="47" t="s">
        <v>728</v>
      </c>
      <c r="E179" s="46" t="s">
        <v>1267</v>
      </c>
      <c r="F179" s="46" t="s">
        <v>1268</v>
      </c>
    </row>
    <row r="180" spans="1:6" ht="36">
      <c r="A180" s="47">
        <v>74291</v>
      </c>
      <c r="B180" s="46" t="s">
        <v>1269</v>
      </c>
      <c r="C180" s="46" t="s">
        <v>1270</v>
      </c>
      <c r="D180" s="47" t="s">
        <v>728</v>
      </c>
      <c r="E180" s="46" t="s">
        <v>1271</v>
      </c>
      <c r="F180" s="46" t="s">
        <v>1272</v>
      </c>
    </row>
    <row r="181" spans="1:6" ht="24">
      <c r="A181" s="47">
        <v>76281</v>
      </c>
      <c r="B181" s="46" t="s">
        <v>1273</v>
      </c>
      <c r="C181" s="46" t="s">
        <v>1274</v>
      </c>
      <c r="D181" s="47" t="s">
        <v>692</v>
      </c>
      <c r="E181" s="46" t="s">
        <v>1076</v>
      </c>
      <c r="F181" s="46" t="s">
        <v>1275</v>
      </c>
    </row>
    <row r="182" spans="1:6" ht="48">
      <c r="A182" s="47">
        <v>76368</v>
      </c>
      <c r="B182" s="46" t="s">
        <v>1276</v>
      </c>
      <c r="C182" s="46" t="s">
        <v>1277</v>
      </c>
      <c r="D182" s="47" t="s">
        <v>728</v>
      </c>
      <c r="E182" s="46" t="s">
        <v>622</v>
      </c>
      <c r="F182" s="46" t="s">
        <v>628</v>
      </c>
    </row>
    <row r="183" spans="1:6" ht="36">
      <c r="A183" s="47">
        <v>76369</v>
      </c>
      <c r="B183" s="9" t="s">
        <v>1278</v>
      </c>
      <c r="C183" s="9" t="s">
        <v>1279</v>
      </c>
      <c r="D183" s="7" t="s">
        <v>6</v>
      </c>
      <c r="E183" s="9" t="s">
        <v>1280</v>
      </c>
      <c r="F183" s="9" t="s">
        <v>1281</v>
      </c>
    </row>
    <row r="184" spans="1:6" ht="24">
      <c r="A184" s="47">
        <v>76622</v>
      </c>
      <c r="B184" s="46" t="s">
        <v>1282</v>
      </c>
      <c r="C184" s="46" t="s">
        <v>1283</v>
      </c>
      <c r="D184" s="47" t="s">
        <v>669</v>
      </c>
      <c r="E184" s="46" t="s">
        <v>1284</v>
      </c>
      <c r="F184" s="46" t="s">
        <v>1285</v>
      </c>
    </row>
    <row r="185" spans="1:6" ht="72">
      <c r="A185" s="47">
        <v>77200</v>
      </c>
      <c r="B185" s="46" t="s">
        <v>1286</v>
      </c>
      <c r="C185" s="46" t="s">
        <v>1287</v>
      </c>
      <c r="D185" s="47" t="s">
        <v>669</v>
      </c>
      <c r="E185" s="46" t="s">
        <v>1288</v>
      </c>
      <c r="F185" s="46" t="s">
        <v>1289</v>
      </c>
    </row>
    <row r="186" spans="1:6" ht="24">
      <c r="A186" s="47">
        <v>77402</v>
      </c>
      <c r="B186" s="46" t="s">
        <v>1290</v>
      </c>
      <c r="C186" s="46" t="s">
        <v>20</v>
      </c>
      <c r="D186" s="47" t="s">
        <v>669</v>
      </c>
      <c r="E186" s="46" t="s">
        <v>1076</v>
      </c>
      <c r="F186" s="46" t="s">
        <v>21</v>
      </c>
    </row>
    <row r="187" spans="1:6" ht="24">
      <c r="A187" s="47">
        <v>77531</v>
      </c>
      <c r="B187" s="46" t="s">
        <v>1291</v>
      </c>
      <c r="C187" s="46" t="s">
        <v>1292</v>
      </c>
      <c r="D187" s="47" t="s">
        <v>669</v>
      </c>
      <c r="E187" s="46" t="s">
        <v>902</v>
      </c>
      <c r="F187" s="46" t="s">
        <v>1293</v>
      </c>
    </row>
    <row r="188" spans="1:6" ht="24">
      <c r="A188" s="47">
        <v>78545</v>
      </c>
      <c r="B188" s="46" t="s">
        <v>1294</v>
      </c>
      <c r="C188" s="46" t="s">
        <v>22</v>
      </c>
      <c r="D188" s="47" t="s">
        <v>669</v>
      </c>
      <c r="E188" s="46" t="s">
        <v>1076</v>
      </c>
      <c r="F188" s="46" t="s">
        <v>23</v>
      </c>
    </row>
    <row r="189" spans="1:6" ht="24">
      <c r="A189" s="47">
        <v>15984</v>
      </c>
      <c r="B189" s="32" t="s">
        <v>1295</v>
      </c>
      <c r="C189" s="32" t="s">
        <v>1296</v>
      </c>
      <c r="D189" s="47" t="s">
        <v>669</v>
      </c>
      <c r="E189" s="32" t="s">
        <v>1297</v>
      </c>
      <c r="F189" s="32" t="s">
        <v>1298</v>
      </c>
    </row>
    <row r="190" spans="1:6" ht="24">
      <c r="A190" s="47">
        <v>42256</v>
      </c>
      <c r="B190" s="32" t="s">
        <v>1299</v>
      </c>
      <c r="C190" s="32" t="s">
        <v>629</v>
      </c>
      <c r="D190" s="47" t="s">
        <v>728</v>
      </c>
      <c r="E190" s="32" t="s">
        <v>1300</v>
      </c>
      <c r="F190" s="32" t="s">
        <v>1298</v>
      </c>
    </row>
    <row r="191" spans="1:6" ht="24">
      <c r="A191" s="47">
        <v>15973</v>
      </c>
      <c r="B191" s="32" t="s">
        <v>630</v>
      </c>
      <c r="C191" s="46" t="s">
        <v>1301</v>
      </c>
      <c r="D191" s="47" t="s">
        <v>669</v>
      </c>
      <c r="E191" s="46" t="s">
        <v>1076</v>
      </c>
      <c r="F191" s="46" t="s">
        <v>1302</v>
      </c>
    </row>
    <row r="192" spans="1:6" ht="60">
      <c r="A192" s="47">
        <v>17687</v>
      </c>
      <c r="B192" s="32" t="s">
        <v>1303</v>
      </c>
      <c r="C192" s="32" t="s">
        <v>1304</v>
      </c>
      <c r="D192" s="47" t="s">
        <v>728</v>
      </c>
      <c r="E192" s="32" t="s">
        <v>1305</v>
      </c>
      <c r="F192" s="32" t="s">
        <v>1306</v>
      </c>
    </row>
    <row r="193" spans="1:6" ht="24">
      <c r="A193" s="47">
        <v>17711</v>
      </c>
      <c r="B193" s="32" t="s">
        <v>1307</v>
      </c>
      <c r="C193" s="46" t="s">
        <v>1308</v>
      </c>
      <c r="D193" s="47" t="s">
        <v>728</v>
      </c>
      <c r="E193" s="46" t="s">
        <v>1076</v>
      </c>
      <c r="F193" s="46" t="s">
        <v>1309</v>
      </c>
    </row>
    <row r="194" spans="1:6" ht="24">
      <c r="A194" s="47">
        <v>17713</v>
      </c>
      <c r="B194" s="32" t="s">
        <v>1310</v>
      </c>
      <c r="C194" s="46" t="s">
        <v>1311</v>
      </c>
      <c r="D194" s="47" t="s">
        <v>792</v>
      </c>
      <c r="E194" s="46" t="s">
        <v>1076</v>
      </c>
      <c r="F194" s="46" t="s">
        <v>1312</v>
      </c>
    </row>
    <row r="195" spans="1:6" ht="24">
      <c r="A195" s="47">
        <v>17797</v>
      </c>
      <c r="B195" s="32" t="s">
        <v>1313</v>
      </c>
      <c r="C195" s="46" t="s">
        <v>1314</v>
      </c>
      <c r="D195" s="47" t="s">
        <v>669</v>
      </c>
      <c r="E195" s="46" t="s">
        <v>1076</v>
      </c>
      <c r="F195" s="46" t="s">
        <v>1315</v>
      </c>
    </row>
    <row r="196" spans="1:6" ht="36">
      <c r="A196" s="47">
        <v>18033</v>
      </c>
      <c r="B196" s="32" t="s">
        <v>1316</v>
      </c>
      <c r="C196" s="46" t="s">
        <v>1317</v>
      </c>
      <c r="D196" s="47" t="s">
        <v>669</v>
      </c>
      <c r="E196" s="46" t="s">
        <v>1076</v>
      </c>
      <c r="F196" s="46" t="s">
        <v>1318</v>
      </c>
    </row>
    <row r="197" spans="1:6" ht="24">
      <c r="A197" s="47">
        <v>20111</v>
      </c>
      <c r="B197" s="32" t="s">
        <v>1319</v>
      </c>
      <c r="C197" s="46" t="s">
        <v>1320</v>
      </c>
      <c r="D197" s="47" t="s">
        <v>669</v>
      </c>
      <c r="E197" s="46" t="s">
        <v>1076</v>
      </c>
      <c r="F197" s="46" t="s">
        <v>1321</v>
      </c>
    </row>
    <row r="198" spans="1:6" ht="24">
      <c r="A198" s="47">
        <v>22268</v>
      </c>
      <c r="B198" s="32" t="s">
        <v>1322</v>
      </c>
      <c r="C198" s="46" t="s">
        <v>1323</v>
      </c>
      <c r="D198" s="47" t="s">
        <v>669</v>
      </c>
      <c r="E198" s="46" t="s">
        <v>1076</v>
      </c>
      <c r="F198" s="46" t="s">
        <v>1324</v>
      </c>
    </row>
    <row r="199" spans="1:6" ht="24">
      <c r="A199" s="47">
        <v>24907</v>
      </c>
      <c r="B199" s="32" t="s">
        <v>1325</v>
      </c>
      <c r="C199" s="46" t="s">
        <v>1326</v>
      </c>
      <c r="D199" s="47" t="s">
        <v>669</v>
      </c>
      <c r="E199" s="46" t="s">
        <v>1076</v>
      </c>
      <c r="F199" s="46" t="s">
        <v>1327</v>
      </c>
    </row>
    <row r="200" spans="1:6" ht="24">
      <c r="A200" s="47">
        <v>25368</v>
      </c>
      <c r="B200" s="32" t="s">
        <v>1328</v>
      </c>
      <c r="C200" s="46" t="s">
        <v>1329</v>
      </c>
      <c r="D200" s="47" t="s">
        <v>669</v>
      </c>
      <c r="E200" s="46" t="s">
        <v>1076</v>
      </c>
      <c r="F200" s="46" t="s">
        <v>1330</v>
      </c>
    </row>
    <row r="201" spans="1:6" ht="24">
      <c r="A201" s="47">
        <v>25971</v>
      </c>
      <c r="B201" s="32" t="s">
        <v>631</v>
      </c>
      <c r="C201" s="46" t="s">
        <v>39</v>
      </c>
      <c r="D201" s="47" t="s">
        <v>728</v>
      </c>
      <c r="E201" s="46" t="s">
        <v>1076</v>
      </c>
      <c r="F201" s="46" t="s">
        <v>40</v>
      </c>
    </row>
    <row r="202" spans="1:6" ht="24">
      <c r="A202" s="47">
        <v>28181</v>
      </c>
      <c r="B202" s="32" t="s">
        <v>41</v>
      </c>
      <c r="C202" s="46" t="s">
        <v>42</v>
      </c>
      <c r="D202" s="47" t="s">
        <v>728</v>
      </c>
      <c r="E202" s="46" t="s">
        <v>1076</v>
      </c>
      <c r="F202" s="46" t="s">
        <v>43</v>
      </c>
    </row>
    <row r="203" spans="1:6" ht="24">
      <c r="A203" s="47">
        <v>31407</v>
      </c>
      <c r="B203" s="32" t="s">
        <v>1331</v>
      </c>
      <c r="C203" s="46" t="s">
        <v>1332</v>
      </c>
      <c r="D203" s="47" t="s">
        <v>728</v>
      </c>
      <c r="E203" s="46" t="s">
        <v>902</v>
      </c>
      <c r="F203" s="46" t="s">
        <v>1333</v>
      </c>
    </row>
    <row r="204" spans="1:6" ht="24">
      <c r="A204" s="47">
        <v>31649</v>
      </c>
      <c r="B204" s="32" t="s">
        <v>1334</v>
      </c>
      <c r="C204" s="46" t="s">
        <v>1335</v>
      </c>
      <c r="D204" s="47" t="s">
        <v>669</v>
      </c>
      <c r="E204" s="46" t="s">
        <v>1076</v>
      </c>
      <c r="F204" s="46" t="s">
        <v>1336</v>
      </c>
    </row>
    <row r="205" spans="1:6" ht="36">
      <c r="A205" s="47">
        <v>31655</v>
      </c>
      <c r="B205" s="32" t="s">
        <v>1337</v>
      </c>
      <c r="C205" s="46" t="s">
        <v>1338</v>
      </c>
      <c r="D205" s="47" t="s">
        <v>669</v>
      </c>
      <c r="E205" s="46" t="s">
        <v>902</v>
      </c>
      <c r="F205" s="46" t="s">
        <v>1339</v>
      </c>
    </row>
    <row r="206" spans="1:6" ht="24">
      <c r="A206" s="47">
        <v>31656</v>
      </c>
      <c r="B206" s="32" t="s">
        <v>1340</v>
      </c>
      <c r="C206" s="46" t="s">
        <v>1341</v>
      </c>
      <c r="D206" s="47" t="s">
        <v>669</v>
      </c>
      <c r="E206" s="46" t="s">
        <v>902</v>
      </c>
      <c r="F206" s="46" t="s">
        <v>1342</v>
      </c>
    </row>
    <row r="207" spans="1:6" ht="24">
      <c r="A207" s="47">
        <v>50069</v>
      </c>
      <c r="B207" s="32" t="s">
        <v>1343</v>
      </c>
      <c r="C207" s="46" t="s">
        <v>1344</v>
      </c>
      <c r="D207" s="47" t="s">
        <v>669</v>
      </c>
      <c r="E207" s="46" t="s">
        <v>902</v>
      </c>
      <c r="F207" s="46" t="s">
        <v>1345</v>
      </c>
    </row>
    <row r="208" spans="1:6" ht="24">
      <c r="A208" s="47">
        <v>68914</v>
      </c>
      <c r="B208" s="32" t="s">
        <v>1346</v>
      </c>
      <c r="C208" s="46" t="s">
        <v>44</v>
      </c>
      <c r="D208" s="47" t="s">
        <v>669</v>
      </c>
      <c r="E208" s="46" t="s">
        <v>902</v>
      </c>
      <c r="F208" s="46" t="s">
        <v>45</v>
      </c>
    </row>
    <row r="209" spans="1:6" ht="24">
      <c r="A209" s="47">
        <v>14722</v>
      </c>
      <c r="B209" s="32" t="s">
        <v>1347</v>
      </c>
      <c r="C209" s="46" t="s">
        <v>1348</v>
      </c>
      <c r="D209" s="47" t="s">
        <v>669</v>
      </c>
      <c r="E209" s="46" t="s">
        <v>552</v>
      </c>
      <c r="F209" s="46" t="s">
        <v>1349</v>
      </c>
    </row>
    <row r="210" spans="1:6">
      <c r="A210" s="47">
        <v>10815</v>
      </c>
      <c r="B210" s="32" t="s">
        <v>1350</v>
      </c>
      <c r="C210" s="32" t="s">
        <v>1351</v>
      </c>
      <c r="D210" s="47" t="s">
        <v>728</v>
      </c>
      <c r="E210" s="32" t="s">
        <v>1352</v>
      </c>
      <c r="F210" s="32" t="s">
        <v>1353</v>
      </c>
    </row>
    <row r="211" spans="1:6" ht="24">
      <c r="A211" s="47">
        <v>44135</v>
      </c>
      <c r="B211" s="32" t="s">
        <v>1354</v>
      </c>
      <c r="C211" s="32" t="s">
        <v>1355</v>
      </c>
      <c r="D211" s="47" t="s">
        <v>6</v>
      </c>
      <c r="E211" s="32" t="s">
        <v>1356</v>
      </c>
      <c r="F211" s="32" t="s">
        <v>1353</v>
      </c>
    </row>
    <row r="212" spans="1:6" ht="36">
      <c r="A212" s="47">
        <v>11606</v>
      </c>
      <c r="B212" s="32" t="s">
        <v>1357</v>
      </c>
      <c r="C212" s="32" t="s">
        <v>1358</v>
      </c>
      <c r="D212" s="47" t="s">
        <v>728</v>
      </c>
      <c r="E212" s="32" t="s">
        <v>1359</v>
      </c>
      <c r="F212" s="46" t="s">
        <v>1360</v>
      </c>
    </row>
    <row r="213" spans="1:6" ht="36">
      <c r="A213" s="47">
        <v>11628</v>
      </c>
      <c r="B213" s="32" t="s">
        <v>1361</v>
      </c>
      <c r="C213" s="32" t="s">
        <v>1362</v>
      </c>
      <c r="D213" s="47" t="s">
        <v>728</v>
      </c>
      <c r="E213" s="32" t="s">
        <v>1363</v>
      </c>
      <c r="F213" s="46" t="s">
        <v>1364</v>
      </c>
    </row>
    <row r="214" spans="1:6" ht="24">
      <c r="A214" s="47">
        <v>51140</v>
      </c>
      <c r="B214" s="32" t="s">
        <v>1365</v>
      </c>
      <c r="C214" s="46" t="s">
        <v>1366</v>
      </c>
      <c r="D214" s="47" t="s">
        <v>669</v>
      </c>
      <c r="E214" s="46" t="s">
        <v>1076</v>
      </c>
      <c r="F214" s="46" t="s">
        <v>1367</v>
      </c>
    </row>
    <row r="215" spans="1:6" ht="24">
      <c r="A215" s="47">
        <v>52717</v>
      </c>
      <c r="B215" s="32" t="s">
        <v>1368</v>
      </c>
      <c r="C215" s="46" t="s">
        <v>46</v>
      </c>
      <c r="D215" s="47" t="s">
        <v>669</v>
      </c>
      <c r="E215" s="46" t="s">
        <v>1076</v>
      </c>
      <c r="F215" s="46" t="s">
        <v>47</v>
      </c>
    </row>
    <row r="216" spans="1:6" ht="24">
      <c r="A216" s="47">
        <v>55925</v>
      </c>
      <c r="B216" s="32" t="s">
        <v>48</v>
      </c>
      <c r="C216" s="46" t="s">
        <v>49</v>
      </c>
      <c r="D216" s="47" t="s">
        <v>669</v>
      </c>
      <c r="E216" s="46" t="s">
        <v>1076</v>
      </c>
      <c r="F216" s="46" t="s">
        <v>50</v>
      </c>
    </row>
    <row r="217" spans="1:6" ht="36">
      <c r="A217" s="47">
        <v>59056</v>
      </c>
      <c r="B217" s="32" t="s">
        <v>1369</v>
      </c>
      <c r="C217" s="46" t="s">
        <v>1370</v>
      </c>
      <c r="D217" s="47" t="s">
        <v>669</v>
      </c>
      <c r="E217" s="46" t="s">
        <v>1076</v>
      </c>
      <c r="F217" s="46" t="s">
        <v>1371</v>
      </c>
    </row>
    <row r="218" spans="1:6" ht="24">
      <c r="A218" s="47">
        <v>59529</v>
      </c>
      <c r="B218" s="32" t="s">
        <v>1372</v>
      </c>
      <c r="C218" s="46" t="s">
        <v>51</v>
      </c>
      <c r="D218" s="47" t="s">
        <v>669</v>
      </c>
      <c r="E218" s="46" t="s">
        <v>1076</v>
      </c>
      <c r="F218" s="46" t="s">
        <v>52</v>
      </c>
    </row>
    <row r="219" spans="1:6" ht="24">
      <c r="A219" s="47">
        <v>60085</v>
      </c>
      <c r="B219" s="32" t="s">
        <v>53</v>
      </c>
      <c r="C219" s="46" t="s">
        <v>54</v>
      </c>
      <c r="D219" s="47" t="s">
        <v>669</v>
      </c>
      <c r="E219" s="46" t="s">
        <v>1076</v>
      </c>
      <c r="F219" s="46" t="s">
        <v>55</v>
      </c>
    </row>
    <row r="220" spans="1:6" ht="24">
      <c r="A220" s="47">
        <v>64992</v>
      </c>
      <c r="B220" s="32" t="s">
        <v>1373</v>
      </c>
      <c r="C220" s="46" t="s">
        <v>1374</v>
      </c>
      <c r="D220" s="47" t="s">
        <v>728</v>
      </c>
      <c r="E220" s="46" t="s">
        <v>1076</v>
      </c>
      <c r="F220" s="46" t="s">
        <v>1375</v>
      </c>
    </row>
    <row r="221" spans="1:6" ht="24">
      <c r="A221" s="47">
        <v>66584</v>
      </c>
      <c r="B221" s="32" t="s">
        <v>1376</v>
      </c>
      <c r="C221" s="46" t="s">
        <v>56</v>
      </c>
      <c r="D221" s="47" t="s">
        <v>728</v>
      </c>
      <c r="E221" s="46" t="s">
        <v>1087</v>
      </c>
      <c r="F221" s="46" t="s">
        <v>57</v>
      </c>
    </row>
    <row r="222" spans="1:6" ht="24">
      <c r="A222" s="47">
        <v>66842</v>
      </c>
      <c r="B222" s="32" t="s">
        <v>1377</v>
      </c>
      <c r="C222" s="46" t="s">
        <v>1378</v>
      </c>
      <c r="D222" s="47" t="s">
        <v>669</v>
      </c>
      <c r="E222" s="46" t="s">
        <v>1076</v>
      </c>
      <c r="F222" s="46" t="s">
        <v>1379</v>
      </c>
    </row>
    <row r="223" spans="1:6" ht="24">
      <c r="A223" s="47">
        <v>67259</v>
      </c>
      <c r="B223" s="32" t="s">
        <v>58</v>
      </c>
      <c r="C223" s="46" t="s">
        <v>59</v>
      </c>
      <c r="D223" s="47" t="s">
        <v>669</v>
      </c>
      <c r="E223" s="46" t="s">
        <v>1076</v>
      </c>
      <c r="F223" s="46" t="s">
        <v>60</v>
      </c>
    </row>
    <row r="224" spans="1:6" ht="36">
      <c r="A224" s="47">
        <v>71426</v>
      </c>
      <c r="B224" s="32" t="s">
        <v>1380</v>
      </c>
      <c r="C224" s="46" t="s">
        <v>61</v>
      </c>
      <c r="D224" s="47" t="s">
        <v>728</v>
      </c>
      <c r="E224" s="46" t="s">
        <v>1076</v>
      </c>
      <c r="F224" s="46" t="s">
        <v>62</v>
      </c>
    </row>
    <row r="225" spans="1:6" ht="36">
      <c r="A225" s="47">
        <v>77285</v>
      </c>
      <c r="B225" s="32" t="s">
        <v>63</v>
      </c>
      <c r="C225" s="46" t="s">
        <v>64</v>
      </c>
      <c r="D225" s="47" t="s">
        <v>669</v>
      </c>
      <c r="E225" s="46" t="s">
        <v>1076</v>
      </c>
      <c r="F225" s="46" t="s">
        <v>65</v>
      </c>
    </row>
    <row r="226" spans="1:6" ht="48">
      <c r="A226" s="47">
        <v>76474</v>
      </c>
      <c r="B226" s="32" t="s">
        <v>1381</v>
      </c>
      <c r="C226" s="32" t="s">
        <v>632</v>
      </c>
      <c r="D226" s="47" t="s">
        <v>728</v>
      </c>
      <c r="E226" s="32" t="s">
        <v>1382</v>
      </c>
      <c r="F226" s="32" t="s">
        <v>1383</v>
      </c>
    </row>
    <row r="227" spans="1:6" ht="48">
      <c r="A227" s="47">
        <v>11658</v>
      </c>
      <c r="B227" s="32" t="s">
        <v>1384</v>
      </c>
      <c r="C227" s="32" t="s">
        <v>1385</v>
      </c>
      <c r="D227" s="47" t="s">
        <v>728</v>
      </c>
      <c r="E227" s="32" t="s">
        <v>1386</v>
      </c>
      <c r="F227" s="32" t="s">
        <v>1387</v>
      </c>
    </row>
    <row r="228" spans="1:6" ht="48">
      <c r="A228" s="47">
        <v>11486</v>
      </c>
      <c r="B228" s="32" t="s">
        <v>1388</v>
      </c>
      <c r="C228" s="32" t="s">
        <v>1389</v>
      </c>
      <c r="D228" s="47" t="s">
        <v>669</v>
      </c>
      <c r="E228" s="32" t="s">
        <v>1390</v>
      </c>
      <c r="F228" s="32" t="s">
        <v>1391</v>
      </c>
    </row>
    <row r="229" spans="1:6" ht="96">
      <c r="A229" s="47">
        <v>10498</v>
      </c>
      <c r="B229" s="32" t="s">
        <v>1392</v>
      </c>
      <c r="C229" s="32" t="s">
        <v>1393</v>
      </c>
      <c r="D229" s="47" t="s">
        <v>669</v>
      </c>
      <c r="E229" s="32" t="s">
        <v>1394</v>
      </c>
      <c r="F229" s="32" t="s">
        <v>1395</v>
      </c>
    </row>
    <row r="230" spans="1:6" ht="36">
      <c r="A230" s="47">
        <v>77475</v>
      </c>
      <c r="B230" s="32" t="s">
        <v>1396</v>
      </c>
      <c r="C230" s="46" t="s">
        <v>1397</v>
      </c>
      <c r="D230" s="47" t="s">
        <v>3</v>
      </c>
      <c r="E230" s="46" t="s">
        <v>66</v>
      </c>
      <c r="F230" s="46" t="s">
        <v>1398</v>
      </c>
    </row>
    <row r="231" spans="1:6" ht="36">
      <c r="A231" s="47">
        <v>10677</v>
      </c>
      <c r="B231" s="32" t="s">
        <v>1399</v>
      </c>
      <c r="C231" s="32" t="s">
        <v>1400</v>
      </c>
      <c r="D231" s="47" t="s">
        <v>655</v>
      </c>
      <c r="E231" s="32" t="s">
        <v>1401</v>
      </c>
      <c r="F231" s="32" t="s">
        <v>1402</v>
      </c>
    </row>
    <row r="232" spans="1:6" ht="192">
      <c r="A232" s="47">
        <v>11808</v>
      </c>
      <c r="B232" s="32" t="s">
        <v>1403</v>
      </c>
      <c r="C232" s="32" t="s">
        <v>1404</v>
      </c>
      <c r="D232" s="47" t="s">
        <v>669</v>
      </c>
      <c r="E232" s="32" t="s">
        <v>1405</v>
      </c>
      <c r="F232" s="32" t="s">
        <v>1406</v>
      </c>
    </row>
    <row r="233" spans="1:6" ht="36">
      <c r="A233" s="47">
        <v>51418</v>
      </c>
      <c r="B233" s="32" t="s">
        <v>1407</v>
      </c>
      <c r="C233" s="32" t="s">
        <v>1408</v>
      </c>
      <c r="D233" s="47" t="s">
        <v>692</v>
      </c>
      <c r="E233" s="32" t="s">
        <v>1409</v>
      </c>
      <c r="F233" s="32" t="s">
        <v>1410</v>
      </c>
    </row>
    <row r="234" spans="1:6" ht="24">
      <c r="A234" s="47">
        <v>11714</v>
      </c>
      <c r="B234" s="32" t="s">
        <v>1411</v>
      </c>
      <c r="C234" s="32" t="s">
        <v>1412</v>
      </c>
      <c r="D234" s="47" t="s">
        <v>728</v>
      </c>
      <c r="E234" s="32" t="s">
        <v>1412</v>
      </c>
      <c r="F234" s="32" t="s">
        <v>1413</v>
      </c>
    </row>
    <row r="235" spans="1:6" ht="60">
      <c r="A235" s="47">
        <v>10203</v>
      </c>
      <c r="B235" s="32" t="s">
        <v>1414</v>
      </c>
      <c r="C235" s="32" t="s">
        <v>1415</v>
      </c>
      <c r="D235" s="47" t="s">
        <v>571</v>
      </c>
      <c r="E235" s="32" t="s">
        <v>1416</v>
      </c>
      <c r="F235" s="32" t="s">
        <v>633</v>
      </c>
    </row>
    <row r="236" spans="1:6" ht="72">
      <c r="A236" s="47">
        <v>33821</v>
      </c>
      <c r="B236" s="32" t="s">
        <v>1417</v>
      </c>
      <c r="C236" s="32" t="s">
        <v>1418</v>
      </c>
      <c r="D236" s="47" t="s">
        <v>728</v>
      </c>
      <c r="E236" s="32" t="s">
        <v>1419</v>
      </c>
      <c r="F236" s="32" t="s">
        <v>1420</v>
      </c>
    </row>
    <row r="237" spans="1:6" ht="48">
      <c r="A237" s="47">
        <v>33273</v>
      </c>
      <c r="B237" s="32" t="s">
        <v>1421</v>
      </c>
      <c r="C237" s="32" t="s">
        <v>1422</v>
      </c>
      <c r="D237" s="47" t="s">
        <v>728</v>
      </c>
      <c r="E237" s="32" t="s">
        <v>1423</v>
      </c>
      <c r="F237" s="32" t="s">
        <v>1424</v>
      </c>
    </row>
    <row r="238" spans="1:6" ht="60">
      <c r="A238" s="47">
        <v>26919</v>
      </c>
      <c r="B238" s="32" t="s">
        <v>1425</v>
      </c>
      <c r="C238" s="32" t="s">
        <v>1426</v>
      </c>
      <c r="D238" s="47" t="s">
        <v>728</v>
      </c>
      <c r="E238" s="32" t="s">
        <v>1427</v>
      </c>
      <c r="F238" s="32" t="s">
        <v>1428</v>
      </c>
    </row>
    <row r="239" spans="1:6" ht="72">
      <c r="A239" s="47">
        <v>18502</v>
      </c>
      <c r="B239" s="32" t="s">
        <v>1429</v>
      </c>
      <c r="C239" s="32" t="s">
        <v>1430</v>
      </c>
      <c r="D239" s="47" t="s">
        <v>669</v>
      </c>
      <c r="E239" s="32" t="s">
        <v>1431</v>
      </c>
      <c r="F239" s="32" t="s">
        <v>1432</v>
      </c>
    </row>
    <row r="240" spans="1:6" ht="60">
      <c r="A240" s="47">
        <v>18585</v>
      </c>
      <c r="B240" s="32" t="s">
        <v>1433</v>
      </c>
      <c r="C240" s="32" t="s">
        <v>1434</v>
      </c>
      <c r="D240" s="47" t="s">
        <v>728</v>
      </c>
      <c r="E240" s="32" t="s">
        <v>1435</v>
      </c>
      <c r="F240" s="32" t="s">
        <v>1436</v>
      </c>
    </row>
    <row r="241" spans="1:7" ht="60">
      <c r="A241" s="47">
        <v>18602</v>
      </c>
      <c r="B241" s="32" t="s">
        <v>1437</v>
      </c>
      <c r="C241" s="32" t="s">
        <v>1434</v>
      </c>
      <c r="D241" s="47" t="s">
        <v>728</v>
      </c>
      <c r="E241" s="32" t="s">
        <v>1438</v>
      </c>
      <c r="F241" s="32" t="s">
        <v>1439</v>
      </c>
    </row>
    <row r="242" spans="1:7" ht="60">
      <c r="A242" s="47">
        <v>19408</v>
      </c>
      <c r="B242" s="32" t="s">
        <v>1440</v>
      </c>
      <c r="C242" s="46" t="s">
        <v>1441</v>
      </c>
      <c r="D242" s="47" t="s">
        <v>692</v>
      </c>
      <c r="E242" s="46" t="s">
        <v>775</v>
      </c>
      <c r="F242" s="46" t="s">
        <v>776</v>
      </c>
    </row>
    <row r="243" spans="1:7" ht="180">
      <c r="A243" s="47">
        <v>21193</v>
      </c>
      <c r="B243" s="32" t="s">
        <v>1442</v>
      </c>
      <c r="C243" s="32" t="s">
        <v>1443</v>
      </c>
      <c r="D243" s="47" t="s">
        <v>692</v>
      </c>
      <c r="E243" s="32" t="s">
        <v>1444</v>
      </c>
      <c r="F243" s="32" t="s">
        <v>1445</v>
      </c>
    </row>
    <row r="244" spans="1:7" ht="24">
      <c r="A244" s="47">
        <v>11356</v>
      </c>
      <c r="B244" s="32" t="s">
        <v>1446</v>
      </c>
      <c r="C244" s="32" t="s">
        <v>1447</v>
      </c>
      <c r="D244" s="47" t="s">
        <v>728</v>
      </c>
      <c r="E244" s="32" t="s">
        <v>1448</v>
      </c>
      <c r="F244" s="32" t="s">
        <v>1298</v>
      </c>
    </row>
    <row r="245" spans="1:7" ht="36">
      <c r="A245" s="47">
        <v>10595</v>
      </c>
      <c r="B245" s="32" t="s">
        <v>1449</v>
      </c>
      <c r="C245" s="32" t="s">
        <v>1450</v>
      </c>
      <c r="D245" s="47" t="s">
        <v>728</v>
      </c>
      <c r="E245" s="32" t="s">
        <v>1451</v>
      </c>
      <c r="F245" s="32" t="s">
        <v>1452</v>
      </c>
    </row>
    <row r="246" spans="1:7" ht="48">
      <c r="A246" s="47">
        <v>46181</v>
      </c>
      <c r="B246" s="32" t="s">
        <v>1453</v>
      </c>
      <c r="C246" s="32" t="s">
        <v>1454</v>
      </c>
      <c r="D246" s="47" t="s">
        <v>728</v>
      </c>
      <c r="E246" s="32" t="s">
        <v>1455</v>
      </c>
      <c r="F246" s="32" t="s">
        <v>1456</v>
      </c>
    </row>
    <row r="247" spans="1:7" ht="48">
      <c r="A247" s="47">
        <v>23842</v>
      </c>
      <c r="B247" s="32" t="s">
        <v>1457</v>
      </c>
      <c r="C247" s="32" t="s">
        <v>1458</v>
      </c>
      <c r="D247" s="47" t="s">
        <v>669</v>
      </c>
      <c r="E247" s="32" t="s">
        <v>1459</v>
      </c>
      <c r="F247" s="32" t="s">
        <v>1460</v>
      </c>
    </row>
    <row r="248" spans="1:7" ht="60">
      <c r="A248" s="47">
        <v>10722</v>
      </c>
      <c r="B248" s="32" t="s">
        <v>1461</v>
      </c>
      <c r="C248" s="32" t="s">
        <v>1462</v>
      </c>
      <c r="D248" s="47" t="s">
        <v>728</v>
      </c>
      <c r="E248" s="32" t="s">
        <v>1463</v>
      </c>
      <c r="F248" s="32" t="s">
        <v>1464</v>
      </c>
    </row>
    <row r="249" spans="1:7" ht="48">
      <c r="A249" s="47">
        <v>21632</v>
      </c>
      <c r="B249" s="32" t="s">
        <v>67</v>
      </c>
      <c r="C249" s="32" t="s">
        <v>68</v>
      </c>
      <c r="D249" s="47" t="s">
        <v>12</v>
      </c>
      <c r="E249" s="32" t="s">
        <v>69</v>
      </c>
      <c r="F249" s="32" t="s">
        <v>70</v>
      </c>
      <c r="G249" s="7"/>
    </row>
    <row r="250" spans="1:7" ht="84">
      <c r="A250" s="47">
        <v>51510</v>
      </c>
      <c r="B250" s="32" t="s">
        <v>71</v>
      </c>
      <c r="C250" s="32" t="s">
        <v>72</v>
      </c>
      <c r="D250" s="47" t="s">
        <v>12</v>
      </c>
      <c r="E250" s="32" t="s">
        <v>73</v>
      </c>
      <c r="F250" s="33" t="s">
        <v>74</v>
      </c>
      <c r="G250" s="7"/>
    </row>
    <row r="251" spans="1:7" ht="108">
      <c r="A251" s="47">
        <v>53475</v>
      </c>
      <c r="B251" s="32" t="s">
        <v>75</v>
      </c>
      <c r="C251" s="32" t="s">
        <v>76</v>
      </c>
      <c r="D251" s="47" t="s">
        <v>12</v>
      </c>
      <c r="E251" s="32" t="s">
        <v>77</v>
      </c>
      <c r="F251" s="33" t="s">
        <v>78</v>
      </c>
      <c r="G251" s="7"/>
    </row>
    <row r="252" spans="1:7" ht="72">
      <c r="A252" s="47">
        <v>55649</v>
      </c>
      <c r="B252" s="32" t="s">
        <v>79</v>
      </c>
      <c r="C252" s="32" t="s">
        <v>80</v>
      </c>
      <c r="D252" s="47" t="s">
        <v>12</v>
      </c>
      <c r="E252" s="32" t="s">
        <v>81</v>
      </c>
      <c r="F252" s="33" t="s">
        <v>82</v>
      </c>
      <c r="G252" s="7"/>
    </row>
    <row r="253" spans="1:7" ht="72">
      <c r="A253" s="47">
        <v>57607</v>
      </c>
      <c r="B253" s="32" t="s">
        <v>83</v>
      </c>
      <c r="C253" s="32" t="s">
        <v>84</v>
      </c>
      <c r="D253" s="31" t="s">
        <v>14</v>
      </c>
      <c r="E253" s="32" t="s">
        <v>85</v>
      </c>
      <c r="F253" s="33" t="s">
        <v>86</v>
      </c>
      <c r="G253" s="7"/>
    </row>
    <row r="254" spans="1:7" ht="120">
      <c r="A254" s="47">
        <v>58594</v>
      </c>
      <c r="B254" s="32" t="s">
        <v>87</v>
      </c>
      <c r="C254" s="32" t="s">
        <v>88</v>
      </c>
      <c r="D254" s="31" t="s">
        <v>12</v>
      </c>
      <c r="E254" s="32" t="s">
        <v>89</v>
      </c>
      <c r="F254" s="33" t="s">
        <v>90</v>
      </c>
      <c r="G254" s="7"/>
    </row>
    <row r="255" spans="1:7" ht="24">
      <c r="A255" s="47">
        <v>61696</v>
      </c>
      <c r="B255" s="32" t="s">
        <v>91</v>
      </c>
      <c r="C255" s="32" t="s">
        <v>92</v>
      </c>
      <c r="D255" s="31" t="s">
        <v>13</v>
      </c>
      <c r="E255" s="32" t="s">
        <v>93</v>
      </c>
      <c r="F255" s="32" t="s">
        <v>94</v>
      </c>
      <c r="G255" s="7"/>
    </row>
    <row r="256" spans="1:7" ht="180">
      <c r="A256" s="47">
        <v>62394</v>
      </c>
      <c r="B256" s="32" t="s">
        <v>95</v>
      </c>
      <c r="C256" s="32" t="s">
        <v>96</v>
      </c>
      <c r="D256" s="31" t="s">
        <v>12</v>
      </c>
      <c r="E256" s="32" t="s">
        <v>97</v>
      </c>
      <c r="F256" s="32" t="s">
        <v>98</v>
      </c>
      <c r="G256" s="7"/>
    </row>
    <row r="257" spans="1:7" ht="84">
      <c r="A257" s="47">
        <v>70022</v>
      </c>
      <c r="B257" s="32" t="s">
        <v>99</v>
      </c>
      <c r="C257" s="32" t="s">
        <v>100</v>
      </c>
      <c r="D257" s="31" t="s">
        <v>12</v>
      </c>
      <c r="E257" s="32" t="s">
        <v>101</v>
      </c>
      <c r="F257" s="32" t="s">
        <v>102</v>
      </c>
      <c r="G257" s="7"/>
    </row>
    <row r="258" spans="1:7" ht="84">
      <c r="A258" s="47">
        <v>11915</v>
      </c>
      <c r="B258" s="32" t="s">
        <v>103</v>
      </c>
      <c r="C258" s="32" t="s">
        <v>104</v>
      </c>
      <c r="D258" s="31" t="s">
        <v>13</v>
      </c>
      <c r="E258" s="33" t="s">
        <v>105</v>
      </c>
      <c r="F258" s="46" t="s">
        <v>106</v>
      </c>
      <c r="G258" s="7"/>
    </row>
    <row r="259" spans="1:7" ht="168">
      <c r="A259" s="47">
        <v>15555</v>
      </c>
      <c r="B259" s="32" t="s">
        <v>107</v>
      </c>
      <c r="C259" s="32" t="s">
        <v>108</v>
      </c>
      <c r="D259" s="31" t="s">
        <v>14</v>
      </c>
      <c r="E259" s="32" t="s">
        <v>109</v>
      </c>
      <c r="F259" s="32" t="s">
        <v>110</v>
      </c>
      <c r="G259" s="7"/>
    </row>
    <row r="260" spans="1:7" ht="72">
      <c r="A260" s="47">
        <v>23649</v>
      </c>
      <c r="B260" s="32" t="s">
        <v>111</v>
      </c>
      <c r="C260" s="32" t="s">
        <v>112</v>
      </c>
      <c r="D260" s="31" t="s">
        <v>12</v>
      </c>
      <c r="E260" s="32" t="s">
        <v>113</v>
      </c>
      <c r="F260" s="32" t="s">
        <v>114</v>
      </c>
      <c r="G260" s="7"/>
    </row>
    <row r="261" spans="1:7" ht="84">
      <c r="A261" s="47">
        <v>31654</v>
      </c>
      <c r="B261" s="32" t="s">
        <v>115</v>
      </c>
      <c r="C261" s="32" t="s">
        <v>116</v>
      </c>
      <c r="D261" s="31" t="s">
        <v>13</v>
      </c>
      <c r="E261" s="32" t="s">
        <v>117</v>
      </c>
      <c r="F261" s="32" t="s">
        <v>118</v>
      </c>
      <c r="G261" s="7"/>
    </row>
    <row r="262" spans="1:7" ht="24">
      <c r="A262" s="47">
        <v>26925</v>
      </c>
      <c r="B262" s="32" t="s">
        <v>119</v>
      </c>
      <c r="C262" s="32" t="s">
        <v>120</v>
      </c>
      <c r="D262" s="31" t="s">
        <v>13</v>
      </c>
      <c r="E262" s="32" t="s">
        <v>121</v>
      </c>
      <c r="F262" s="32" t="s">
        <v>122</v>
      </c>
      <c r="G262" s="7"/>
    </row>
    <row r="263" spans="1:7" ht="24">
      <c r="A263" s="47">
        <v>66174</v>
      </c>
      <c r="B263" s="32" t="s">
        <v>123</v>
      </c>
      <c r="C263" s="32" t="s">
        <v>124</v>
      </c>
      <c r="D263" s="31" t="s">
        <v>13</v>
      </c>
      <c r="E263" s="32" t="s">
        <v>125</v>
      </c>
      <c r="F263" s="32" t="s">
        <v>122</v>
      </c>
      <c r="G263" s="7"/>
    </row>
    <row r="264" spans="1:7" ht="84">
      <c r="A264" s="47">
        <v>33869</v>
      </c>
      <c r="B264" s="32" t="s">
        <v>126</v>
      </c>
      <c r="C264" s="32" t="s">
        <v>127</v>
      </c>
      <c r="D264" s="31" t="s">
        <v>12</v>
      </c>
      <c r="E264" s="32" t="s">
        <v>128</v>
      </c>
      <c r="F264" s="32" t="s">
        <v>129</v>
      </c>
      <c r="G264" s="7"/>
    </row>
    <row r="265" spans="1:7" ht="60">
      <c r="A265" s="47">
        <v>56997</v>
      </c>
      <c r="B265" s="32" t="s">
        <v>130</v>
      </c>
      <c r="C265" s="32" t="s">
        <v>131</v>
      </c>
      <c r="D265" s="31" t="s">
        <v>14</v>
      </c>
      <c r="E265" s="32" t="s">
        <v>132</v>
      </c>
      <c r="F265" s="32" t="s">
        <v>133</v>
      </c>
      <c r="G265" s="7"/>
    </row>
    <row r="266" spans="1:7" ht="60">
      <c r="A266" s="47">
        <v>10056</v>
      </c>
      <c r="B266" s="32" t="s">
        <v>134</v>
      </c>
      <c r="C266" s="32" t="s">
        <v>135</v>
      </c>
      <c r="D266" s="31" t="s">
        <v>12</v>
      </c>
      <c r="E266" s="32" t="s">
        <v>136</v>
      </c>
      <c r="F266" s="32" t="s">
        <v>137</v>
      </c>
      <c r="G266" s="7"/>
    </row>
    <row r="267" spans="1:7" ht="60">
      <c r="A267" s="47">
        <v>10188</v>
      </c>
      <c r="B267" s="32" t="s">
        <v>138</v>
      </c>
      <c r="C267" s="32" t="s">
        <v>139</v>
      </c>
      <c r="D267" s="31" t="s">
        <v>12</v>
      </c>
      <c r="E267" s="32" t="s">
        <v>140</v>
      </c>
      <c r="F267" s="32" t="s">
        <v>141</v>
      </c>
      <c r="G267" s="7"/>
    </row>
    <row r="268" spans="1:7" ht="36">
      <c r="A268" s="47">
        <v>10660</v>
      </c>
      <c r="B268" s="32" t="s">
        <v>142</v>
      </c>
      <c r="C268" s="32" t="s">
        <v>143</v>
      </c>
      <c r="D268" s="31" t="s">
        <v>12</v>
      </c>
      <c r="E268" s="32" t="s">
        <v>144</v>
      </c>
      <c r="F268" s="32" t="s">
        <v>145</v>
      </c>
      <c r="G268" s="7"/>
    </row>
    <row r="269" spans="1:7" ht="96">
      <c r="A269" s="47">
        <v>10848</v>
      </c>
      <c r="B269" s="32" t="s">
        <v>146</v>
      </c>
      <c r="C269" s="32" t="s">
        <v>147</v>
      </c>
      <c r="D269" s="31" t="s">
        <v>12</v>
      </c>
      <c r="E269" s="32" t="s">
        <v>148</v>
      </c>
      <c r="F269" s="32" t="s">
        <v>149</v>
      </c>
      <c r="G269" s="7"/>
    </row>
    <row r="270" spans="1:7" ht="96">
      <c r="A270" s="47">
        <v>10851</v>
      </c>
      <c r="B270" s="32" t="s">
        <v>150</v>
      </c>
      <c r="C270" s="32" t="s">
        <v>151</v>
      </c>
      <c r="D270" s="31" t="s">
        <v>12</v>
      </c>
      <c r="E270" s="32" t="s">
        <v>148</v>
      </c>
      <c r="F270" s="32" t="s">
        <v>152</v>
      </c>
      <c r="G270" s="7"/>
    </row>
    <row r="271" spans="1:7" ht="96">
      <c r="A271" s="47">
        <v>11030</v>
      </c>
      <c r="B271" s="32" t="s">
        <v>153</v>
      </c>
      <c r="C271" s="32" t="s">
        <v>154</v>
      </c>
      <c r="D271" s="31" t="s">
        <v>13</v>
      </c>
      <c r="E271" s="32" t="s">
        <v>155</v>
      </c>
      <c r="F271" s="32" t="s">
        <v>156</v>
      </c>
      <c r="G271" s="7"/>
    </row>
    <row r="272" spans="1:7" ht="120">
      <c r="A272" s="47">
        <v>11137</v>
      </c>
      <c r="B272" s="32" t="s">
        <v>157</v>
      </c>
      <c r="C272" s="32" t="s">
        <v>158</v>
      </c>
      <c r="D272" s="31" t="s">
        <v>13</v>
      </c>
      <c r="E272" s="32" t="s">
        <v>159</v>
      </c>
      <c r="F272" s="32" t="s">
        <v>160</v>
      </c>
      <c r="G272" s="7"/>
    </row>
    <row r="273" spans="1:7" ht="36">
      <c r="A273" s="47">
        <v>11223</v>
      </c>
      <c r="B273" s="32" t="s">
        <v>161</v>
      </c>
      <c r="C273" s="32" t="s">
        <v>162</v>
      </c>
      <c r="D273" s="31" t="s">
        <v>12</v>
      </c>
      <c r="E273" s="32" t="s">
        <v>163</v>
      </c>
      <c r="F273" s="32" t="s">
        <v>164</v>
      </c>
      <c r="G273" s="7"/>
    </row>
    <row r="274" spans="1:7" ht="96">
      <c r="A274" s="47">
        <v>11224</v>
      </c>
      <c r="B274" s="32" t="s">
        <v>165</v>
      </c>
      <c r="C274" s="32" t="s">
        <v>166</v>
      </c>
      <c r="D274" s="31" t="s">
        <v>12</v>
      </c>
      <c r="E274" s="32" t="s">
        <v>167</v>
      </c>
      <c r="F274" s="32" t="s">
        <v>168</v>
      </c>
      <c r="G274" s="7"/>
    </row>
    <row r="275" spans="1:7" ht="84">
      <c r="A275" s="47">
        <v>11226</v>
      </c>
      <c r="B275" s="32" t="s">
        <v>169</v>
      </c>
      <c r="C275" s="32" t="s">
        <v>170</v>
      </c>
      <c r="D275" s="31" t="s">
        <v>12</v>
      </c>
      <c r="E275" s="32" t="s">
        <v>171</v>
      </c>
      <c r="F275" s="32" t="s">
        <v>172</v>
      </c>
      <c r="G275" s="7"/>
    </row>
    <row r="276" spans="1:7" ht="252">
      <c r="A276" s="47">
        <v>11227</v>
      </c>
      <c r="B276" s="32" t="s">
        <v>173</v>
      </c>
      <c r="C276" s="32" t="s">
        <v>174</v>
      </c>
      <c r="D276" s="31" t="s">
        <v>13</v>
      </c>
      <c r="E276" s="32" t="s">
        <v>175</v>
      </c>
      <c r="F276" s="32" t="s">
        <v>176</v>
      </c>
      <c r="G276" s="7"/>
    </row>
    <row r="277" spans="1:7" ht="48">
      <c r="A277" s="47">
        <v>11267</v>
      </c>
      <c r="B277" s="32" t="s">
        <v>177</v>
      </c>
      <c r="C277" s="32" t="s">
        <v>178</v>
      </c>
      <c r="D277" s="31" t="s">
        <v>12</v>
      </c>
      <c r="E277" s="32" t="s">
        <v>179</v>
      </c>
      <c r="F277" s="32" t="s">
        <v>180</v>
      </c>
      <c r="G277" s="7"/>
    </row>
    <row r="278" spans="1:7" ht="120">
      <c r="A278" s="47">
        <v>11452</v>
      </c>
      <c r="B278" s="32" t="s">
        <v>181</v>
      </c>
      <c r="C278" s="32" t="s">
        <v>182</v>
      </c>
      <c r="D278" s="31" t="s">
        <v>13</v>
      </c>
      <c r="E278" s="32" t="s">
        <v>183</v>
      </c>
      <c r="F278" s="32" t="s">
        <v>184</v>
      </c>
      <c r="G278" s="7"/>
    </row>
    <row r="279" spans="1:7" ht="108">
      <c r="A279" s="47">
        <v>11793</v>
      </c>
      <c r="B279" s="32" t="s">
        <v>185</v>
      </c>
      <c r="C279" s="32" t="s">
        <v>186</v>
      </c>
      <c r="D279" s="31" t="s">
        <v>13</v>
      </c>
      <c r="E279" s="32" t="s">
        <v>187</v>
      </c>
      <c r="F279" s="32" t="s">
        <v>188</v>
      </c>
      <c r="G279" s="7"/>
    </row>
    <row r="280" spans="1:7" ht="60">
      <c r="A280" s="47">
        <v>12110</v>
      </c>
      <c r="B280" s="32" t="s">
        <v>189</v>
      </c>
      <c r="C280" s="32" t="s">
        <v>190</v>
      </c>
      <c r="D280" s="31" t="s">
        <v>12</v>
      </c>
      <c r="E280" s="32" t="s">
        <v>191</v>
      </c>
      <c r="F280" s="32" t="s">
        <v>192</v>
      </c>
      <c r="G280" s="7"/>
    </row>
    <row r="281" spans="1:7" ht="72">
      <c r="A281" s="47">
        <v>12255</v>
      </c>
      <c r="B281" s="32" t="s">
        <v>193</v>
      </c>
      <c r="C281" s="32" t="s">
        <v>194</v>
      </c>
      <c r="D281" s="31" t="s">
        <v>13</v>
      </c>
      <c r="E281" s="32" t="s">
        <v>195</v>
      </c>
      <c r="F281" s="32" t="s">
        <v>196</v>
      </c>
      <c r="G281" s="7"/>
    </row>
    <row r="282" spans="1:7" ht="60">
      <c r="A282" s="47">
        <v>12280</v>
      </c>
      <c r="B282" s="32" t="s">
        <v>197</v>
      </c>
      <c r="C282" s="32" t="s">
        <v>198</v>
      </c>
      <c r="D282" s="31" t="s">
        <v>12</v>
      </c>
      <c r="E282" s="32" t="s">
        <v>199</v>
      </c>
      <c r="F282" s="32" t="s">
        <v>200</v>
      </c>
      <c r="G282" s="7"/>
    </row>
    <row r="283" spans="1:7" ht="48">
      <c r="A283" s="47">
        <v>13651</v>
      </c>
      <c r="B283" s="32" t="s">
        <v>201</v>
      </c>
      <c r="C283" s="32" t="s">
        <v>202</v>
      </c>
      <c r="D283" s="31" t="s">
        <v>13</v>
      </c>
      <c r="E283" s="32" t="s">
        <v>203</v>
      </c>
      <c r="F283" s="32" t="s">
        <v>204</v>
      </c>
      <c r="G283" s="7"/>
    </row>
    <row r="284" spans="1:7" ht="84">
      <c r="A284" s="47">
        <v>17746</v>
      </c>
      <c r="B284" s="32" t="s">
        <v>205</v>
      </c>
      <c r="C284" s="32" t="s">
        <v>206</v>
      </c>
      <c r="D284" s="31" t="s">
        <v>13</v>
      </c>
      <c r="E284" s="32" t="s">
        <v>207</v>
      </c>
      <c r="F284" s="32" t="s">
        <v>208</v>
      </c>
      <c r="G284" s="7"/>
    </row>
    <row r="285" spans="1:7" ht="48">
      <c r="A285" s="47">
        <v>17747</v>
      </c>
      <c r="B285" s="32" t="s">
        <v>209</v>
      </c>
      <c r="C285" s="32" t="s">
        <v>210</v>
      </c>
      <c r="D285" s="31" t="s">
        <v>12</v>
      </c>
      <c r="E285" s="32" t="s">
        <v>211</v>
      </c>
      <c r="F285" s="32" t="s">
        <v>212</v>
      </c>
      <c r="G285" s="7"/>
    </row>
    <row r="286" spans="1:7" ht="24">
      <c r="A286" s="47">
        <v>17748</v>
      </c>
      <c r="B286" s="32" t="s">
        <v>213</v>
      </c>
      <c r="C286" s="32" t="s">
        <v>214</v>
      </c>
      <c r="D286" s="31" t="s">
        <v>12</v>
      </c>
      <c r="E286" s="32" t="s">
        <v>215</v>
      </c>
      <c r="F286" s="32" t="s">
        <v>216</v>
      </c>
      <c r="G286" s="7"/>
    </row>
    <row r="287" spans="1:7" ht="48">
      <c r="A287" s="47">
        <v>17749</v>
      </c>
      <c r="B287" s="32" t="s">
        <v>217</v>
      </c>
      <c r="C287" s="32" t="s">
        <v>218</v>
      </c>
      <c r="D287" s="31" t="s">
        <v>12</v>
      </c>
      <c r="E287" s="32" t="s">
        <v>219</v>
      </c>
      <c r="F287" s="32" t="s">
        <v>220</v>
      </c>
      <c r="G287" s="7"/>
    </row>
    <row r="288" spans="1:7" ht="60">
      <c r="A288" s="47">
        <v>17750</v>
      </c>
      <c r="B288" s="32" t="s">
        <v>221</v>
      </c>
      <c r="C288" s="32" t="s">
        <v>222</v>
      </c>
      <c r="D288" s="31" t="s">
        <v>12</v>
      </c>
      <c r="E288" s="32" t="s">
        <v>223</v>
      </c>
      <c r="F288" s="32" t="s">
        <v>224</v>
      </c>
      <c r="G288" s="7"/>
    </row>
    <row r="289" spans="1:7" ht="60">
      <c r="A289" s="47">
        <v>17751</v>
      </c>
      <c r="B289" s="32" t="s">
        <v>225</v>
      </c>
      <c r="C289" s="32" t="s">
        <v>226</v>
      </c>
      <c r="D289" s="31" t="s">
        <v>13</v>
      </c>
      <c r="E289" s="32" t="s">
        <v>227</v>
      </c>
      <c r="F289" s="32" t="s">
        <v>228</v>
      </c>
      <c r="G289" s="7"/>
    </row>
    <row r="290" spans="1:7" ht="132">
      <c r="A290" s="47">
        <v>17752</v>
      </c>
      <c r="B290" s="32" t="s">
        <v>229</v>
      </c>
      <c r="C290" s="32" t="s">
        <v>230</v>
      </c>
      <c r="D290" s="31" t="s">
        <v>13</v>
      </c>
      <c r="E290" s="32" t="s">
        <v>231</v>
      </c>
      <c r="F290" s="32" t="s">
        <v>232</v>
      </c>
      <c r="G290" s="7"/>
    </row>
    <row r="291" spans="1:7" ht="60">
      <c r="A291" s="47">
        <v>17759</v>
      </c>
      <c r="B291" s="32" t="s">
        <v>233</v>
      </c>
      <c r="C291" s="32" t="s">
        <v>234</v>
      </c>
      <c r="D291" s="31" t="s">
        <v>12</v>
      </c>
      <c r="E291" s="32" t="s">
        <v>235</v>
      </c>
      <c r="F291" s="32" t="s">
        <v>236</v>
      </c>
      <c r="G291" s="7"/>
    </row>
    <row r="292" spans="1:7" ht="144">
      <c r="A292" s="47">
        <v>17760</v>
      </c>
      <c r="B292" s="32" t="s">
        <v>237</v>
      </c>
      <c r="C292" s="32" t="s">
        <v>238</v>
      </c>
      <c r="D292" s="31" t="s">
        <v>13</v>
      </c>
      <c r="E292" s="32" t="s">
        <v>239</v>
      </c>
      <c r="F292" s="32" t="s">
        <v>240</v>
      </c>
      <c r="G292" s="7"/>
    </row>
    <row r="293" spans="1:7" ht="72">
      <c r="A293" s="47">
        <v>17761</v>
      </c>
      <c r="B293" s="32" t="s">
        <v>241</v>
      </c>
      <c r="C293" s="32" t="s">
        <v>242</v>
      </c>
      <c r="D293" s="31" t="s">
        <v>12</v>
      </c>
      <c r="E293" s="32" t="s">
        <v>243</v>
      </c>
      <c r="F293" s="32" t="s">
        <v>244</v>
      </c>
      <c r="G293" s="7"/>
    </row>
    <row r="294" spans="1:7" ht="96">
      <c r="A294" s="47">
        <v>17762</v>
      </c>
      <c r="B294" s="32" t="s">
        <v>245</v>
      </c>
      <c r="C294" s="32" t="s">
        <v>246</v>
      </c>
      <c r="D294" s="31" t="s">
        <v>12</v>
      </c>
      <c r="E294" s="32" t="s">
        <v>247</v>
      </c>
      <c r="F294" s="32" t="s">
        <v>248</v>
      </c>
      <c r="G294" s="7"/>
    </row>
    <row r="295" spans="1:7" ht="36">
      <c r="A295" s="47">
        <v>17763</v>
      </c>
      <c r="B295" s="32" t="s">
        <v>249</v>
      </c>
      <c r="C295" s="32" t="s">
        <v>250</v>
      </c>
      <c r="D295" s="31" t="s">
        <v>12</v>
      </c>
      <c r="E295" s="32" t="s">
        <v>251</v>
      </c>
      <c r="F295" s="32" t="s">
        <v>252</v>
      </c>
      <c r="G295" s="7"/>
    </row>
    <row r="296" spans="1:7" ht="132">
      <c r="A296" s="47">
        <v>17765</v>
      </c>
      <c r="B296" s="32" t="s">
        <v>253</v>
      </c>
      <c r="C296" s="32" t="s">
        <v>254</v>
      </c>
      <c r="D296" s="31" t="s">
        <v>12</v>
      </c>
      <c r="E296" s="32" t="s">
        <v>255</v>
      </c>
      <c r="F296" s="32" t="s">
        <v>256</v>
      </c>
      <c r="G296" s="7"/>
    </row>
    <row r="297" spans="1:7" ht="336">
      <c r="A297" s="47">
        <v>25662</v>
      </c>
      <c r="B297" s="32" t="s">
        <v>257</v>
      </c>
      <c r="C297" s="32" t="s">
        <v>258</v>
      </c>
      <c r="D297" s="31" t="s">
        <v>14</v>
      </c>
      <c r="E297" s="32" t="s">
        <v>259</v>
      </c>
      <c r="F297" s="32" t="s">
        <v>260</v>
      </c>
      <c r="G297" s="7"/>
    </row>
    <row r="298" spans="1:7" ht="24">
      <c r="A298" s="47">
        <v>42411</v>
      </c>
      <c r="B298" s="32" t="s">
        <v>261</v>
      </c>
      <c r="C298" s="32" t="s">
        <v>262</v>
      </c>
      <c r="D298" s="31" t="s">
        <v>13</v>
      </c>
      <c r="E298" s="32" t="s">
        <v>263</v>
      </c>
      <c r="F298" s="32" t="s">
        <v>264</v>
      </c>
      <c r="G298" s="7"/>
    </row>
    <row r="299" spans="1:7" ht="48">
      <c r="A299" s="47">
        <v>48405</v>
      </c>
      <c r="B299" s="32" t="s">
        <v>265</v>
      </c>
      <c r="C299" s="32" t="s">
        <v>266</v>
      </c>
      <c r="D299" s="31" t="s">
        <v>14</v>
      </c>
      <c r="E299" s="32" t="s">
        <v>267</v>
      </c>
      <c r="F299" s="32" t="s">
        <v>268</v>
      </c>
      <c r="G299" s="7"/>
    </row>
    <row r="300" spans="1:7" ht="84">
      <c r="A300" s="47">
        <v>53503</v>
      </c>
      <c r="B300" s="32" t="s">
        <v>269</v>
      </c>
      <c r="C300" s="32" t="s">
        <v>270</v>
      </c>
      <c r="D300" s="31" t="s">
        <v>14</v>
      </c>
      <c r="E300" s="32" t="s">
        <v>271</v>
      </c>
      <c r="F300" s="32" t="s">
        <v>272</v>
      </c>
      <c r="G300" s="7"/>
    </row>
    <row r="301" spans="1:7" ht="60">
      <c r="A301" s="47">
        <v>56996</v>
      </c>
      <c r="B301" s="32" t="s">
        <v>273</v>
      </c>
      <c r="C301" s="32" t="s">
        <v>274</v>
      </c>
      <c r="D301" s="31" t="s">
        <v>12</v>
      </c>
      <c r="E301" s="32" t="s">
        <v>275</v>
      </c>
      <c r="F301" s="32" t="s">
        <v>276</v>
      </c>
      <c r="G301" s="7"/>
    </row>
    <row r="302" spans="1:7" ht="96">
      <c r="A302" s="47">
        <v>57459</v>
      </c>
      <c r="B302" s="32" t="s">
        <v>277</v>
      </c>
      <c r="C302" s="32" t="s">
        <v>278</v>
      </c>
      <c r="D302" s="31" t="s">
        <v>13</v>
      </c>
      <c r="E302" s="32" t="s">
        <v>279</v>
      </c>
      <c r="F302" s="32" t="s">
        <v>280</v>
      </c>
      <c r="G302" s="7"/>
    </row>
    <row r="303" spans="1:7" ht="132">
      <c r="A303" s="47">
        <v>58564</v>
      </c>
      <c r="B303" s="32" t="s">
        <v>281</v>
      </c>
      <c r="C303" s="32" t="s">
        <v>282</v>
      </c>
      <c r="D303" s="31" t="s">
        <v>12</v>
      </c>
      <c r="E303" s="32" t="s">
        <v>283</v>
      </c>
      <c r="F303" s="32" t="s">
        <v>284</v>
      </c>
      <c r="G303" s="7"/>
    </row>
    <row r="304" spans="1:7" ht="192">
      <c r="A304" s="47">
        <v>58799</v>
      </c>
      <c r="B304" s="32" t="s">
        <v>285</v>
      </c>
      <c r="C304" s="32" t="s">
        <v>286</v>
      </c>
      <c r="D304" s="31" t="s">
        <v>13</v>
      </c>
      <c r="E304" s="32" t="s">
        <v>287</v>
      </c>
      <c r="F304" s="32" t="s">
        <v>288</v>
      </c>
      <c r="G304" s="7"/>
    </row>
    <row r="305" spans="1:7" ht="108">
      <c r="A305" s="47">
        <v>59076</v>
      </c>
      <c r="B305" s="32" t="s">
        <v>289</v>
      </c>
      <c r="C305" s="32" t="s">
        <v>290</v>
      </c>
      <c r="D305" s="31" t="s">
        <v>12</v>
      </c>
      <c r="E305" s="32" t="s">
        <v>291</v>
      </c>
      <c r="F305" s="32" t="s">
        <v>292</v>
      </c>
      <c r="G305" s="7"/>
    </row>
    <row r="306" spans="1:7" ht="48">
      <c r="A306" s="47">
        <v>64532</v>
      </c>
      <c r="B306" s="32" t="s">
        <v>293</v>
      </c>
      <c r="C306" s="32" t="s">
        <v>294</v>
      </c>
      <c r="D306" s="31" t="s">
        <v>12</v>
      </c>
      <c r="E306" s="32" t="s">
        <v>295</v>
      </c>
      <c r="F306" s="32" t="s">
        <v>296</v>
      </c>
      <c r="G306" s="7"/>
    </row>
    <row r="307" spans="1:7" ht="36">
      <c r="A307" s="47">
        <v>78555</v>
      </c>
      <c r="B307" s="32" t="s">
        <v>297</v>
      </c>
      <c r="C307" s="32" t="s">
        <v>298</v>
      </c>
      <c r="D307" s="31" t="s">
        <v>14</v>
      </c>
      <c r="E307" s="32" t="s">
        <v>299</v>
      </c>
      <c r="F307" s="32" t="s">
        <v>300</v>
      </c>
      <c r="G307" s="7"/>
    </row>
    <row r="308" spans="1:7" ht="300">
      <c r="A308" s="47">
        <v>10852</v>
      </c>
      <c r="B308" s="32" t="s">
        <v>301</v>
      </c>
      <c r="C308" s="32" t="s">
        <v>302</v>
      </c>
      <c r="D308" s="31" t="s">
        <v>12</v>
      </c>
      <c r="E308" s="32" t="s">
        <v>303</v>
      </c>
      <c r="F308" s="32" t="s">
        <v>1465</v>
      </c>
      <c r="G308" s="7"/>
    </row>
    <row r="309" spans="1:7" ht="156">
      <c r="A309" s="47">
        <v>24680</v>
      </c>
      <c r="B309" s="32" t="s">
        <v>304</v>
      </c>
      <c r="C309" s="32" t="s">
        <v>305</v>
      </c>
      <c r="D309" s="31" t="s">
        <v>14</v>
      </c>
      <c r="E309" s="32" t="s">
        <v>306</v>
      </c>
      <c r="F309" s="32" t="s">
        <v>307</v>
      </c>
      <c r="G309" s="7"/>
    </row>
    <row r="310" spans="1:7" ht="72">
      <c r="A310" s="47">
        <v>25171</v>
      </c>
      <c r="B310" s="32" t="s">
        <v>308</v>
      </c>
      <c r="C310" s="32" t="s">
        <v>309</v>
      </c>
      <c r="D310" s="31" t="s">
        <v>14</v>
      </c>
      <c r="E310" s="32" t="s">
        <v>310</v>
      </c>
      <c r="F310" s="32" t="s">
        <v>311</v>
      </c>
      <c r="G310" s="7"/>
    </row>
    <row r="311" spans="1:7" ht="60">
      <c r="A311" s="47">
        <v>25925</v>
      </c>
      <c r="B311" s="32" t="s">
        <v>312</v>
      </c>
      <c r="C311" s="32" t="s">
        <v>313</v>
      </c>
      <c r="D311" s="31" t="s">
        <v>14</v>
      </c>
      <c r="E311" s="32" t="s">
        <v>314</v>
      </c>
      <c r="F311" s="32" t="s">
        <v>315</v>
      </c>
      <c r="G311" s="7"/>
    </row>
    <row r="312" spans="1:7" ht="72">
      <c r="A312" s="47">
        <v>29724</v>
      </c>
      <c r="B312" s="32" t="s">
        <v>316</v>
      </c>
      <c r="C312" s="32" t="s">
        <v>317</v>
      </c>
      <c r="D312" s="31" t="s">
        <v>14</v>
      </c>
      <c r="E312" s="32" t="s">
        <v>318</v>
      </c>
      <c r="F312" s="32" t="s">
        <v>319</v>
      </c>
      <c r="G312" s="7"/>
    </row>
    <row r="313" spans="1:7" ht="84">
      <c r="A313" s="47">
        <v>51892</v>
      </c>
      <c r="B313" s="32" t="s">
        <v>320</v>
      </c>
      <c r="C313" s="32" t="s">
        <v>321</v>
      </c>
      <c r="D313" s="31" t="s">
        <v>12</v>
      </c>
      <c r="E313" s="32" t="s">
        <v>322</v>
      </c>
      <c r="F313" s="32" t="s">
        <v>323</v>
      </c>
      <c r="G313" s="7"/>
    </row>
    <row r="314" spans="1:7" ht="72">
      <c r="A314" s="47">
        <v>59917</v>
      </c>
      <c r="B314" s="32" t="s">
        <v>324</v>
      </c>
      <c r="C314" s="32" t="s">
        <v>325</v>
      </c>
      <c r="D314" s="31" t="s">
        <v>13</v>
      </c>
      <c r="E314" s="32" t="s">
        <v>326</v>
      </c>
      <c r="F314" s="32" t="s">
        <v>327</v>
      </c>
      <c r="G314" s="7"/>
    </row>
    <row r="315" spans="1:7" ht="48">
      <c r="A315" s="47">
        <v>12249</v>
      </c>
      <c r="B315" s="32" t="s">
        <v>328</v>
      </c>
      <c r="C315" s="32" t="s">
        <v>329</v>
      </c>
      <c r="D315" s="31" t="s">
        <v>12</v>
      </c>
      <c r="E315" s="32" t="s">
        <v>330</v>
      </c>
      <c r="F315" s="32" t="s">
        <v>1466</v>
      </c>
      <c r="G315" s="7"/>
    </row>
    <row r="316" spans="1:7" ht="108">
      <c r="A316" s="47">
        <v>35659</v>
      </c>
      <c r="B316" s="32" t="s">
        <v>331</v>
      </c>
      <c r="C316" s="32" t="s">
        <v>332</v>
      </c>
      <c r="D316" s="31" t="s">
        <v>12</v>
      </c>
      <c r="E316" s="32" t="s">
        <v>333</v>
      </c>
      <c r="F316" s="32" t="s">
        <v>334</v>
      </c>
      <c r="G316" s="7"/>
    </row>
    <row r="317" spans="1:7" ht="108">
      <c r="A317" s="47">
        <v>36161</v>
      </c>
      <c r="B317" s="32" t="s">
        <v>335</v>
      </c>
      <c r="C317" s="32" t="s">
        <v>336</v>
      </c>
      <c r="D317" s="31" t="s">
        <v>13</v>
      </c>
      <c r="E317" s="32" t="s">
        <v>337</v>
      </c>
      <c r="F317" s="32" t="s">
        <v>338</v>
      </c>
      <c r="G317" s="7"/>
    </row>
    <row r="318" spans="1:7" ht="96">
      <c r="A318" s="47">
        <v>39450</v>
      </c>
      <c r="B318" s="32" t="s">
        <v>339</v>
      </c>
      <c r="C318" s="32" t="s">
        <v>340</v>
      </c>
      <c r="D318" s="31" t="s">
        <v>12</v>
      </c>
      <c r="E318" s="32" t="s">
        <v>341</v>
      </c>
      <c r="F318" s="32" t="s">
        <v>342</v>
      </c>
      <c r="G318" s="7"/>
    </row>
    <row r="319" spans="1:7" ht="120">
      <c r="A319" s="47">
        <v>41057</v>
      </c>
      <c r="B319" s="32" t="s">
        <v>343</v>
      </c>
      <c r="C319" s="32" t="s">
        <v>344</v>
      </c>
      <c r="D319" s="31" t="s">
        <v>12</v>
      </c>
      <c r="E319" s="32" t="s">
        <v>345</v>
      </c>
      <c r="F319" s="32" t="s">
        <v>346</v>
      </c>
      <c r="G319" s="7"/>
    </row>
    <row r="320" spans="1:7" ht="120">
      <c r="A320" s="47">
        <v>45430</v>
      </c>
      <c r="B320" s="32" t="s">
        <v>347</v>
      </c>
      <c r="C320" s="32" t="s">
        <v>348</v>
      </c>
      <c r="D320" s="31" t="s">
        <v>12</v>
      </c>
      <c r="E320" s="32" t="s">
        <v>349</v>
      </c>
      <c r="F320" s="32" t="s">
        <v>350</v>
      </c>
      <c r="G320" s="7"/>
    </row>
    <row r="321" spans="1:7" ht="132">
      <c r="A321" s="47">
        <v>49691</v>
      </c>
      <c r="B321" s="32" t="s">
        <v>351</v>
      </c>
      <c r="C321" s="32" t="s">
        <v>352</v>
      </c>
      <c r="D321" s="31" t="s">
        <v>14</v>
      </c>
      <c r="E321" s="32" t="s">
        <v>353</v>
      </c>
      <c r="F321" s="32" t="s">
        <v>354</v>
      </c>
      <c r="G321" s="7"/>
    </row>
    <row r="322" spans="1:7" ht="108">
      <c r="A322" s="47">
        <v>56683</v>
      </c>
      <c r="B322" s="32" t="s">
        <v>355</v>
      </c>
      <c r="C322" s="32" t="s">
        <v>356</v>
      </c>
      <c r="D322" s="31" t="s">
        <v>12</v>
      </c>
      <c r="E322" s="32" t="s">
        <v>357</v>
      </c>
      <c r="F322" s="32" t="s">
        <v>358</v>
      </c>
      <c r="G322" s="7"/>
    </row>
    <row r="323" spans="1:7" ht="84">
      <c r="A323" s="47">
        <v>71783</v>
      </c>
      <c r="B323" s="32" t="s">
        <v>359</v>
      </c>
      <c r="C323" s="32" t="s">
        <v>360</v>
      </c>
      <c r="D323" s="31" t="s">
        <v>12</v>
      </c>
      <c r="E323" s="32" t="s">
        <v>361</v>
      </c>
      <c r="F323" s="32" t="s">
        <v>362</v>
      </c>
      <c r="G323" s="7"/>
    </row>
    <row r="324" spans="1:7" ht="24">
      <c r="A324" s="47">
        <v>11255</v>
      </c>
      <c r="B324" s="32" t="s">
        <v>363</v>
      </c>
      <c r="C324" s="32" t="s">
        <v>364</v>
      </c>
      <c r="D324" s="31" t="s">
        <v>14</v>
      </c>
      <c r="E324" s="32" t="s">
        <v>365</v>
      </c>
      <c r="F324" s="32" t="s">
        <v>1467</v>
      </c>
      <c r="G324" s="7"/>
    </row>
    <row r="325" spans="1:7" ht="132">
      <c r="A325" s="47">
        <v>31737</v>
      </c>
      <c r="B325" s="32" t="s">
        <v>366</v>
      </c>
      <c r="C325" s="32" t="s">
        <v>367</v>
      </c>
      <c r="D325" s="31" t="s">
        <v>12</v>
      </c>
      <c r="E325" s="32" t="s">
        <v>368</v>
      </c>
      <c r="F325" s="32" t="s">
        <v>369</v>
      </c>
      <c r="G325" s="7"/>
    </row>
    <row r="326" spans="1:7" ht="108">
      <c r="A326" s="47">
        <v>44065</v>
      </c>
      <c r="B326" s="32" t="s">
        <v>370</v>
      </c>
      <c r="C326" s="32" t="s">
        <v>371</v>
      </c>
      <c r="D326" s="31" t="s">
        <v>12</v>
      </c>
      <c r="E326" s="32" t="s">
        <v>372</v>
      </c>
      <c r="F326" s="32" t="s">
        <v>373</v>
      </c>
      <c r="G326" s="7"/>
    </row>
    <row r="327" spans="1:7" ht="96">
      <c r="A327" s="47">
        <v>44078</v>
      </c>
      <c r="B327" s="46" t="s">
        <v>374</v>
      </c>
      <c r="C327" s="32" t="s">
        <v>375</v>
      </c>
      <c r="D327" s="47" t="s">
        <v>13</v>
      </c>
      <c r="E327" s="46" t="s">
        <v>376</v>
      </c>
      <c r="F327" s="32" t="s">
        <v>377</v>
      </c>
      <c r="G327" s="7"/>
    </row>
    <row r="328" spans="1:7" ht="84">
      <c r="A328" s="47">
        <v>44079</v>
      </c>
      <c r="B328" s="46" t="s">
        <v>378</v>
      </c>
      <c r="C328" s="46" t="s">
        <v>379</v>
      </c>
      <c r="D328" s="47" t="s">
        <v>12</v>
      </c>
      <c r="E328" s="46" t="s">
        <v>380</v>
      </c>
      <c r="F328" s="32" t="s">
        <v>1468</v>
      </c>
      <c r="G328" s="7"/>
    </row>
    <row r="329" spans="1:7" ht="240">
      <c r="A329" s="47">
        <v>11563</v>
      </c>
      <c r="B329" s="46" t="s">
        <v>381</v>
      </c>
      <c r="C329" s="46" t="s">
        <v>382</v>
      </c>
      <c r="D329" s="47" t="s">
        <v>13</v>
      </c>
      <c r="E329" s="46" t="s">
        <v>383</v>
      </c>
      <c r="F329" s="46" t="s">
        <v>384</v>
      </c>
      <c r="G329" s="7"/>
    </row>
    <row r="330" spans="1:7" ht="48">
      <c r="A330" s="47">
        <v>12047</v>
      </c>
      <c r="B330" s="46" t="s">
        <v>385</v>
      </c>
      <c r="C330" s="46" t="s">
        <v>386</v>
      </c>
      <c r="D330" s="47" t="s">
        <v>14</v>
      </c>
      <c r="E330" s="46" t="s">
        <v>387</v>
      </c>
      <c r="F330" s="46" t="s">
        <v>388</v>
      </c>
      <c r="G330" s="7"/>
    </row>
    <row r="331" spans="1:7" ht="108">
      <c r="A331" s="47">
        <v>12067</v>
      </c>
      <c r="B331" s="46" t="s">
        <v>389</v>
      </c>
      <c r="C331" s="46" t="s">
        <v>390</v>
      </c>
      <c r="D331" s="47" t="s">
        <v>12</v>
      </c>
      <c r="E331" s="46" t="s">
        <v>391</v>
      </c>
      <c r="F331" s="46" t="s">
        <v>392</v>
      </c>
      <c r="G331" s="7"/>
    </row>
    <row r="332" spans="1:7" ht="36">
      <c r="A332" s="47">
        <v>14641</v>
      </c>
      <c r="B332" s="46" t="s">
        <v>393</v>
      </c>
      <c r="C332" s="46" t="s">
        <v>394</v>
      </c>
      <c r="D332" s="47" t="s">
        <v>13</v>
      </c>
      <c r="E332" s="46" t="s">
        <v>395</v>
      </c>
      <c r="F332" s="46" t="s">
        <v>396</v>
      </c>
      <c r="G332" s="7"/>
    </row>
    <row r="333" spans="1:7" ht="60">
      <c r="A333" s="47">
        <v>17654</v>
      </c>
      <c r="B333" s="46" t="s">
        <v>397</v>
      </c>
      <c r="C333" s="46" t="s">
        <v>398</v>
      </c>
      <c r="D333" s="47" t="s">
        <v>12</v>
      </c>
      <c r="E333" s="46" t="s">
        <v>399</v>
      </c>
      <c r="F333" s="46" t="s">
        <v>400</v>
      </c>
      <c r="G333" s="7"/>
    </row>
    <row r="334" spans="1:7" ht="96">
      <c r="A334" s="47">
        <v>64097</v>
      </c>
      <c r="B334" s="46" t="s">
        <v>401</v>
      </c>
      <c r="C334" s="32" t="s">
        <v>402</v>
      </c>
      <c r="D334" s="47" t="s">
        <v>12</v>
      </c>
      <c r="E334" s="32" t="s">
        <v>403</v>
      </c>
      <c r="F334" s="32" t="s">
        <v>404</v>
      </c>
      <c r="G334" s="7"/>
    </row>
    <row r="335" spans="1:7" ht="96">
      <c r="A335" s="47">
        <v>68982</v>
      </c>
      <c r="B335" s="46" t="s">
        <v>405</v>
      </c>
      <c r="C335" s="32" t="s">
        <v>406</v>
      </c>
      <c r="D335" s="47" t="s">
        <v>14</v>
      </c>
      <c r="E335" s="32" t="s">
        <v>407</v>
      </c>
      <c r="F335" s="32" t="s">
        <v>408</v>
      </c>
      <c r="G335" s="7"/>
    </row>
    <row r="336" spans="1:7" ht="96">
      <c r="A336" s="47">
        <v>72061</v>
      </c>
      <c r="B336" s="46" t="s">
        <v>409</v>
      </c>
      <c r="C336" s="32" t="s">
        <v>410</v>
      </c>
      <c r="D336" s="47" t="s">
        <v>12</v>
      </c>
      <c r="E336" s="32" t="s">
        <v>411</v>
      </c>
      <c r="F336" s="32" t="s">
        <v>412</v>
      </c>
      <c r="G336" s="7"/>
    </row>
    <row r="337" spans="1:7" ht="156">
      <c r="A337" s="47">
        <v>76967</v>
      </c>
      <c r="B337" s="46" t="s">
        <v>413</v>
      </c>
      <c r="C337" s="32" t="s">
        <v>414</v>
      </c>
      <c r="D337" s="47" t="s">
        <v>13</v>
      </c>
      <c r="E337" s="32" t="s">
        <v>415</v>
      </c>
      <c r="F337" s="32" t="s">
        <v>416</v>
      </c>
      <c r="G337" s="7"/>
    </row>
    <row r="338" spans="1:7" ht="84">
      <c r="A338" s="47">
        <v>40887</v>
      </c>
      <c r="B338" s="46" t="s">
        <v>417</v>
      </c>
      <c r="C338" s="46" t="s">
        <v>418</v>
      </c>
      <c r="D338" s="47" t="s">
        <v>14</v>
      </c>
      <c r="E338" s="46" t="s">
        <v>419</v>
      </c>
      <c r="F338" s="46" t="s">
        <v>420</v>
      </c>
      <c r="G338" s="7"/>
    </row>
    <row r="339" spans="1:7" ht="60">
      <c r="A339" s="47">
        <v>77829</v>
      </c>
      <c r="B339" s="46" t="s">
        <v>421</v>
      </c>
      <c r="C339" s="46" t="s">
        <v>422</v>
      </c>
      <c r="D339" s="47" t="s">
        <v>14</v>
      </c>
      <c r="E339" s="46" t="s">
        <v>423</v>
      </c>
      <c r="F339" s="46" t="s">
        <v>1469</v>
      </c>
      <c r="G339" s="7"/>
    </row>
    <row r="340" spans="1:7" ht="60">
      <c r="A340" s="47">
        <v>12112</v>
      </c>
      <c r="B340" s="46" t="s">
        <v>424</v>
      </c>
      <c r="C340" s="46" t="s">
        <v>425</v>
      </c>
      <c r="D340" s="47" t="s">
        <v>12</v>
      </c>
      <c r="E340" s="46" t="s">
        <v>426</v>
      </c>
      <c r="F340" s="46" t="s">
        <v>1470</v>
      </c>
      <c r="G340"/>
    </row>
    <row r="341" spans="1:7" ht="36">
      <c r="A341" s="47">
        <v>23639</v>
      </c>
      <c r="B341" s="46" t="s">
        <v>427</v>
      </c>
      <c r="C341" s="46" t="s">
        <v>428</v>
      </c>
      <c r="D341" s="47" t="s">
        <v>12</v>
      </c>
      <c r="E341" s="46" t="s">
        <v>429</v>
      </c>
      <c r="F341" s="46" t="s">
        <v>430</v>
      </c>
      <c r="G341" s="7"/>
    </row>
    <row r="342" spans="1:7" ht="36">
      <c r="A342" s="47">
        <v>66848</v>
      </c>
      <c r="B342" s="46" t="s">
        <v>431</v>
      </c>
      <c r="C342" s="46" t="s">
        <v>432</v>
      </c>
      <c r="D342" s="47" t="s">
        <v>12</v>
      </c>
      <c r="E342" s="46" t="s">
        <v>433</v>
      </c>
      <c r="F342" s="46" t="s">
        <v>434</v>
      </c>
      <c r="G342" s="7"/>
    </row>
    <row r="343" spans="1:7" ht="156">
      <c r="A343" s="47">
        <v>10043</v>
      </c>
      <c r="B343" s="46" t="s">
        <v>435</v>
      </c>
      <c r="C343" s="46" t="s">
        <v>436</v>
      </c>
      <c r="D343" s="47" t="s">
        <v>12</v>
      </c>
      <c r="E343" s="46" t="s">
        <v>437</v>
      </c>
      <c r="F343" s="46" t="s">
        <v>438</v>
      </c>
      <c r="G343" s="7"/>
    </row>
    <row r="344" spans="1:7" ht="409.5">
      <c r="A344" s="47">
        <v>11110</v>
      </c>
      <c r="B344" s="46" t="s">
        <v>439</v>
      </c>
      <c r="C344" s="46" t="s">
        <v>440</v>
      </c>
      <c r="D344" s="47" t="s">
        <v>13</v>
      </c>
      <c r="E344" s="46" t="s">
        <v>441</v>
      </c>
      <c r="F344" s="46" t="s">
        <v>442</v>
      </c>
      <c r="G344" s="7"/>
    </row>
    <row r="345" spans="1:7" ht="60">
      <c r="A345" s="47">
        <v>11138</v>
      </c>
      <c r="B345" s="46" t="s">
        <v>443</v>
      </c>
      <c r="C345" s="46" t="s">
        <v>444</v>
      </c>
      <c r="D345" s="47" t="s">
        <v>12</v>
      </c>
      <c r="E345" s="46" t="s">
        <v>445</v>
      </c>
      <c r="F345" s="46" t="s">
        <v>446</v>
      </c>
      <c r="G345" s="7"/>
    </row>
    <row r="346" spans="1:7" ht="48">
      <c r="A346" s="47">
        <v>12065</v>
      </c>
      <c r="B346" s="46" t="s">
        <v>447</v>
      </c>
      <c r="C346" s="46" t="s">
        <v>448</v>
      </c>
      <c r="D346" s="47" t="s">
        <v>14</v>
      </c>
      <c r="E346" s="46" t="s">
        <v>449</v>
      </c>
      <c r="F346" s="46" t="s">
        <v>450</v>
      </c>
      <c r="G346" s="7"/>
    </row>
    <row r="347" spans="1:7" ht="168">
      <c r="A347" s="47">
        <v>15970</v>
      </c>
      <c r="B347" s="46" t="s">
        <v>451</v>
      </c>
      <c r="C347" s="46" t="s">
        <v>452</v>
      </c>
      <c r="D347" s="47" t="s">
        <v>14</v>
      </c>
      <c r="E347" s="46" t="s">
        <v>453</v>
      </c>
      <c r="F347" s="46" t="s">
        <v>454</v>
      </c>
      <c r="G347" s="7"/>
    </row>
    <row r="348" spans="1:7" ht="72">
      <c r="A348" s="47">
        <v>46017</v>
      </c>
      <c r="B348" s="46" t="s">
        <v>455</v>
      </c>
      <c r="C348" s="46" t="s">
        <v>456</v>
      </c>
      <c r="D348" s="47" t="s">
        <v>14</v>
      </c>
      <c r="E348" s="46" t="s">
        <v>457</v>
      </c>
      <c r="F348" s="46" t="s">
        <v>458</v>
      </c>
      <c r="G348" s="7"/>
    </row>
    <row r="349" spans="1:7" ht="96">
      <c r="A349" s="47">
        <v>17766</v>
      </c>
      <c r="B349" s="46" t="s">
        <v>459</v>
      </c>
      <c r="C349" s="46" t="s">
        <v>460</v>
      </c>
      <c r="D349" s="47" t="s">
        <v>13</v>
      </c>
      <c r="E349" s="46" t="s">
        <v>461</v>
      </c>
      <c r="F349" s="46" t="s">
        <v>462</v>
      </c>
      <c r="G349" s="7"/>
    </row>
    <row r="350" spans="1:7" ht="84">
      <c r="A350" s="47">
        <v>17767</v>
      </c>
      <c r="B350" s="46" t="s">
        <v>463</v>
      </c>
      <c r="C350" s="46" t="s">
        <v>464</v>
      </c>
      <c r="D350" s="47" t="s">
        <v>12</v>
      </c>
      <c r="E350" s="46" t="s">
        <v>465</v>
      </c>
      <c r="F350" s="46" t="s">
        <v>466</v>
      </c>
      <c r="G350" s="7"/>
    </row>
    <row r="351" spans="1:7" ht="144">
      <c r="A351" s="47">
        <v>74363</v>
      </c>
      <c r="B351" s="46" t="s">
        <v>467</v>
      </c>
      <c r="C351" s="46" t="s">
        <v>468</v>
      </c>
      <c r="D351" s="47" t="s">
        <v>13</v>
      </c>
      <c r="E351" s="32" t="s">
        <v>469</v>
      </c>
      <c r="F351" s="46" t="s">
        <v>470</v>
      </c>
      <c r="G351" s="7"/>
    </row>
    <row r="352" spans="1:7" ht="60">
      <c r="A352" s="47">
        <v>77086</v>
      </c>
      <c r="B352" s="46" t="s">
        <v>471</v>
      </c>
      <c r="C352" s="46" t="s">
        <v>472</v>
      </c>
      <c r="D352" s="47" t="s">
        <v>13</v>
      </c>
      <c r="E352" s="32" t="s">
        <v>473</v>
      </c>
      <c r="F352" s="46" t="s">
        <v>474</v>
      </c>
      <c r="G352" s="7"/>
    </row>
    <row r="353" spans="1:7" ht="96">
      <c r="A353" s="47">
        <v>78552</v>
      </c>
      <c r="B353" s="46" t="s">
        <v>475</v>
      </c>
      <c r="C353" s="46" t="s">
        <v>476</v>
      </c>
      <c r="D353" s="47" t="s">
        <v>12</v>
      </c>
      <c r="E353" s="32" t="s">
        <v>477</v>
      </c>
      <c r="F353" s="46" t="s">
        <v>478</v>
      </c>
      <c r="G353" s="7"/>
    </row>
    <row r="354" spans="1:7" ht="24">
      <c r="A354" s="47">
        <v>10264</v>
      </c>
      <c r="B354" s="46" t="s">
        <v>1471</v>
      </c>
      <c r="C354" s="46" t="s">
        <v>1472</v>
      </c>
      <c r="D354" s="47" t="s">
        <v>669</v>
      </c>
      <c r="E354" s="46" t="s">
        <v>1473</v>
      </c>
      <c r="F354" s="46" t="s">
        <v>1474</v>
      </c>
    </row>
    <row r="355" spans="1:7" ht="48">
      <c r="A355" s="47">
        <v>62759</v>
      </c>
      <c r="B355" s="46" t="s">
        <v>1475</v>
      </c>
      <c r="C355" s="46" t="s">
        <v>1476</v>
      </c>
      <c r="D355" s="47" t="s">
        <v>669</v>
      </c>
      <c r="E355" s="46" t="s">
        <v>1477</v>
      </c>
      <c r="F355" s="46" t="s">
        <v>1478</v>
      </c>
    </row>
    <row r="356" spans="1:7" ht="72">
      <c r="A356" s="47">
        <v>78479</v>
      </c>
      <c r="B356" s="46" t="s">
        <v>1479</v>
      </c>
      <c r="C356" s="46" t="s">
        <v>1480</v>
      </c>
      <c r="D356" s="47" t="s">
        <v>728</v>
      </c>
      <c r="E356" s="46" t="s">
        <v>1481</v>
      </c>
      <c r="F356" s="46" t="s">
        <v>1482</v>
      </c>
    </row>
    <row r="357" spans="1:7" ht="60">
      <c r="A357" s="47">
        <v>79638</v>
      </c>
      <c r="B357" s="46" t="s">
        <v>1483</v>
      </c>
      <c r="C357" s="46" t="s">
        <v>1484</v>
      </c>
      <c r="D357" s="47" t="s">
        <v>692</v>
      </c>
      <c r="E357" s="46" t="s">
        <v>1485</v>
      </c>
      <c r="F357" s="46" t="s">
        <v>1486</v>
      </c>
    </row>
    <row r="358" spans="1:7" ht="60">
      <c r="A358" s="47">
        <v>80035</v>
      </c>
      <c r="B358" s="46" t="s">
        <v>1487</v>
      </c>
      <c r="C358" s="46" t="s">
        <v>1488</v>
      </c>
      <c r="D358" s="47" t="s">
        <v>728</v>
      </c>
      <c r="E358" s="46" t="s">
        <v>1489</v>
      </c>
      <c r="F358" s="46" t="s">
        <v>1490</v>
      </c>
    </row>
    <row r="359" spans="1:7" ht="36">
      <c r="A359" s="47">
        <v>73182</v>
      </c>
      <c r="B359" s="46" t="s">
        <v>1491</v>
      </c>
      <c r="C359" s="46" t="s">
        <v>1492</v>
      </c>
      <c r="D359" s="47" t="s">
        <v>692</v>
      </c>
      <c r="E359" s="46" t="s">
        <v>1493</v>
      </c>
      <c r="F359" s="46" t="s">
        <v>1494</v>
      </c>
    </row>
    <row r="360" spans="1:7" ht="24">
      <c r="A360" s="47">
        <v>79246</v>
      </c>
      <c r="B360" s="46" t="s">
        <v>1495</v>
      </c>
      <c r="C360" s="9" t="s">
        <v>1496</v>
      </c>
      <c r="D360" s="7" t="s">
        <v>13</v>
      </c>
      <c r="E360" s="9" t="s">
        <v>866</v>
      </c>
      <c r="F360" s="9" t="s">
        <v>1497</v>
      </c>
    </row>
    <row r="361" spans="1:7" ht="24">
      <c r="A361" s="47">
        <v>80330</v>
      </c>
      <c r="B361" s="46" t="s">
        <v>1498</v>
      </c>
      <c r="C361" s="9" t="s">
        <v>479</v>
      </c>
      <c r="D361" s="7" t="s">
        <v>13</v>
      </c>
      <c r="E361" s="9" t="s">
        <v>866</v>
      </c>
      <c r="F361" s="9" t="s">
        <v>480</v>
      </c>
    </row>
    <row r="362" spans="1:7" ht="24">
      <c r="A362" s="47">
        <v>81080</v>
      </c>
      <c r="B362" s="46" t="s">
        <v>1499</v>
      </c>
      <c r="C362" s="9" t="s">
        <v>481</v>
      </c>
      <c r="D362" s="7" t="s">
        <v>13</v>
      </c>
      <c r="E362" s="9" t="s">
        <v>866</v>
      </c>
      <c r="F362" s="9" t="s">
        <v>482</v>
      </c>
    </row>
    <row r="363" spans="1:7" ht="36">
      <c r="A363" s="47">
        <v>81510</v>
      </c>
      <c r="B363" s="46" t="s">
        <v>634</v>
      </c>
      <c r="C363" s="9" t="s">
        <v>483</v>
      </c>
      <c r="D363" s="7" t="s">
        <v>13</v>
      </c>
      <c r="E363" s="9" t="s">
        <v>866</v>
      </c>
      <c r="F363" s="9" t="s">
        <v>484</v>
      </c>
    </row>
    <row r="364" spans="1:7" ht="48">
      <c r="A364" s="47">
        <v>55286</v>
      </c>
      <c r="B364" s="46" t="s">
        <v>1500</v>
      </c>
      <c r="C364" s="46" t="s">
        <v>1020</v>
      </c>
      <c r="D364" s="47" t="s">
        <v>669</v>
      </c>
      <c r="E364" s="46" t="s">
        <v>1021</v>
      </c>
      <c r="F364" s="46" t="s">
        <v>1501</v>
      </c>
    </row>
    <row r="365" spans="1:7" ht="36">
      <c r="A365" s="47">
        <v>70545</v>
      </c>
      <c r="B365" s="46" t="s">
        <v>1502</v>
      </c>
      <c r="C365" s="9" t="s">
        <v>1503</v>
      </c>
      <c r="D365" s="7" t="s">
        <v>728</v>
      </c>
      <c r="E365" s="9" t="s">
        <v>1504</v>
      </c>
      <c r="F365" s="9" t="s">
        <v>1505</v>
      </c>
    </row>
    <row r="366" spans="1:7" ht="60">
      <c r="A366" s="47">
        <v>47556</v>
      </c>
      <c r="B366" s="46" t="s">
        <v>1506</v>
      </c>
      <c r="C366" s="46" t="s">
        <v>1507</v>
      </c>
      <c r="D366" s="47" t="s">
        <v>669</v>
      </c>
      <c r="E366" s="46" t="s">
        <v>943</v>
      </c>
      <c r="F366" s="46" t="s">
        <v>1508</v>
      </c>
    </row>
    <row r="367" spans="1:7" ht="48">
      <c r="A367" s="47">
        <v>11583</v>
      </c>
      <c r="B367" s="46" t="s">
        <v>1509</v>
      </c>
      <c r="C367" s="46" t="s">
        <v>1510</v>
      </c>
      <c r="D367" s="47" t="s">
        <v>728</v>
      </c>
      <c r="E367" s="46" t="s">
        <v>1511</v>
      </c>
      <c r="F367" s="46" t="s">
        <v>1512</v>
      </c>
    </row>
    <row r="368" spans="1:7" ht="48">
      <c r="A368" s="47">
        <v>18592</v>
      </c>
      <c r="B368" s="46" t="s">
        <v>1513</v>
      </c>
      <c r="C368" s="46" t="s">
        <v>1514</v>
      </c>
      <c r="D368" s="47" t="s">
        <v>669</v>
      </c>
      <c r="E368" s="46" t="s">
        <v>1515</v>
      </c>
      <c r="F368" s="46" t="s">
        <v>1516</v>
      </c>
    </row>
    <row r="369" spans="1:6" ht="36">
      <c r="A369" s="47">
        <v>26918</v>
      </c>
      <c r="B369" s="46" t="s">
        <v>1517</v>
      </c>
      <c r="C369" s="46" t="s">
        <v>1518</v>
      </c>
      <c r="D369" s="47" t="s">
        <v>692</v>
      </c>
      <c r="E369" s="46" t="s">
        <v>1519</v>
      </c>
      <c r="F369" s="46" t="s">
        <v>1520</v>
      </c>
    </row>
    <row r="370" spans="1:6" ht="36">
      <c r="A370" s="47">
        <v>33881</v>
      </c>
      <c r="B370" s="46" t="s">
        <v>1521</v>
      </c>
      <c r="C370" s="46" t="s">
        <v>1522</v>
      </c>
      <c r="D370" s="47" t="s">
        <v>728</v>
      </c>
      <c r="E370" s="46" t="s">
        <v>1523</v>
      </c>
      <c r="F370" s="46" t="s">
        <v>1524</v>
      </c>
    </row>
    <row r="371" spans="1:6" ht="36">
      <c r="A371" s="47">
        <v>34414</v>
      </c>
      <c r="B371" s="46" t="s">
        <v>1525</v>
      </c>
      <c r="C371" s="46" t="s">
        <v>1526</v>
      </c>
      <c r="D371" s="47" t="s">
        <v>728</v>
      </c>
      <c r="E371" s="46" t="s">
        <v>1527</v>
      </c>
      <c r="F371" s="46" t="s">
        <v>1528</v>
      </c>
    </row>
    <row r="372" spans="1:6" ht="36">
      <c r="A372" s="47">
        <v>35634</v>
      </c>
      <c r="B372" s="46" t="s">
        <v>1529</v>
      </c>
      <c r="C372" s="46" t="s">
        <v>1530</v>
      </c>
      <c r="D372" s="47" t="s">
        <v>728</v>
      </c>
      <c r="E372" s="46" t="s">
        <v>1531</v>
      </c>
      <c r="F372" s="46" t="s">
        <v>1532</v>
      </c>
    </row>
    <row r="373" spans="1:6" ht="36">
      <c r="A373" s="47">
        <v>39350</v>
      </c>
      <c r="B373" s="46" t="s">
        <v>1533</v>
      </c>
      <c r="C373" s="46" t="s">
        <v>1534</v>
      </c>
      <c r="D373" s="47" t="s">
        <v>728</v>
      </c>
      <c r="E373" s="46" t="s">
        <v>1535</v>
      </c>
      <c r="F373" s="46" t="s">
        <v>1536</v>
      </c>
    </row>
    <row r="374" spans="1:6" ht="60">
      <c r="A374" s="47">
        <v>43089</v>
      </c>
      <c r="B374" s="46" t="s">
        <v>1537</v>
      </c>
      <c r="C374" s="46" t="s">
        <v>1538</v>
      </c>
      <c r="D374" s="47" t="s">
        <v>669</v>
      </c>
      <c r="E374" s="46" t="s">
        <v>1539</v>
      </c>
      <c r="F374" s="46" t="s">
        <v>1540</v>
      </c>
    </row>
    <row r="375" spans="1:6" ht="48">
      <c r="A375" s="47">
        <v>48762</v>
      </c>
      <c r="B375" s="46" t="s">
        <v>1541</v>
      </c>
      <c r="C375" s="46" t="s">
        <v>1542</v>
      </c>
      <c r="D375" s="47" t="s">
        <v>669</v>
      </c>
      <c r="E375" s="46" t="s">
        <v>1543</v>
      </c>
      <c r="F375" s="46" t="s">
        <v>1544</v>
      </c>
    </row>
    <row r="376" spans="1:6" ht="48">
      <c r="A376" s="47">
        <v>62758</v>
      </c>
      <c r="B376" s="46" t="s">
        <v>1545</v>
      </c>
      <c r="C376" s="46" t="s">
        <v>1546</v>
      </c>
      <c r="D376" s="47" t="s">
        <v>669</v>
      </c>
      <c r="E376" s="46" t="s">
        <v>1547</v>
      </c>
      <c r="F376" s="46" t="s">
        <v>1548</v>
      </c>
    </row>
    <row r="377" spans="1:6" ht="72">
      <c r="A377" s="47">
        <v>63155</v>
      </c>
      <c r="B377" s="46" t="s">
        <v>1549</v>
      </c>
      <c r="C377" s="46" t="s">
        <v>1550</v>
      </c>
      <c r="D377" s="47" t="s">
        <v>669</v>
      </c>
      <c r="E377" s="46" t="s">
        <v>1551</v>
      </c>
      <c r="F377" s="46" t="s">
        <v>1552</v>
      </c>
    </row>
    <row r="378" spans="1:6" ht="84">
      <c r="A378" s="47">
        <v>20006</v>
      </c>
      <c r="B378" s="46" t="s">
        <v>1553</v>
      </c>
      <c r="C378" s="46" t="s">
        <v>1554</v>
      </c>
      <c r="D378" s="47" t="s">
        <v>692</v>
      </c>
      <c r="E378" s="46" t="s">
        <v>1555</v>
      </c>
      <c r="F378" s="46" t="s">
        <v>1556</v>
      </c>
    </row>
    <row r="379" spans="1:6" ht="60">
      <c r="A379" s="2">
        <v>42263</v>
      </c>
      <c r="B379" s="46" t="s">
        <v>1557</v>
      </c>
      <c r="C379" s="46" t="s">
        <v>1558</v>
      </c>
      <c r="D379" s="47" t="s">
        <v>728</v>
      </c>
      <c r="E379" s="46" t="s">
        <v>1559</v>
      </c>
      <c r="F379" s="46" t="s">
        <v>1560</v>
      </c>
    </row>
    <row r="380" spans="1:6" ht="60">
      <c r="A380" s="2">
        <v>81083</v>
      </c>
      <c r="B380" s="46" t="s">
        <v>1561</v>
      </c>
      <c r="C380" s="46" t="s">
        <v>1562</v>
      </c>
      <c r="D380" s="47" t="s">
        <v>728</v>
      </c>
      <c r="E380" s="46" t="s">
        <v>1563</v>
      </c>
      <c r="F380" s="46" t="s">
        <v>1564</v>
      </c>
    </row>
    <row r="381" spans="1:6" ht="84">
      <c r="A381" s="2">
        <v>65821</v>
      </c>
      <c r="B381" s="46" t="s">
        <v>1565</v>
      </c>
      <c r="C381" s="46" t="s">
        <v>1566</v>
      </c>
      <c r="D381" s="47" t="s">
        <v>728</v>
      </c>
      <c r="E381" s="46" t="s">
        <v>1567</v>
      </c>
      <c r="F381" s="46" t="s">
        <v>1568</v>
      </c>
    </row>
    <row r="382" spans="1:6" ht="60">
      <c r="A382" s="2">
        <v>83875</v>
      </c>
      <c r="B382" s="46" t="s">
        <v>1569</v>
      </c>
      <c r="C382" s="46" t="s">
        <v>1570</v>
      </c>
      <c r="D382" s="47" t="s">
        <v>728</v>
      </c>
      <c r="E382" s="46" t="s">
        <v>1571</v>
      </c>
      <c r="F382" s="46" t="s">
        <v>1572</v>
      </c>
    </row>
    <row r="383" spans="1:6" ht="60">
      <c r="A383" s="2">
        <v>81606</v>
      </c>
      <c r="B383" s="46" t="s">
        <v>1573</v>
      </c>
      <c r="C383" s="46" t="s">
        <v>1574</v>
      </c>
      <c r="D383" s="47" t="s">
        <v>728</v>
      </c>
      <c r="E383" s="46" t="s">
        <v>1575</v>
      </c>
      <c r="F383" s="46" t="s">
        <v>1576</v>
      </c>
    </row>
    <row r="384" spans="1:6" ht="36">
      <c r="A384" s="2">
        <v>83738</v>
      </c>
      <c r="B384" s="46" t="s">
        <v>1577</v>
      </c>
      <c r="C384" s="46" t="s">
        <v>1578</v>
      </c>
      <c r="D384" s="47" t="s">
        <v>728</v>
      </c>
      <c r="E384" s="46" t="s">
        <v>1579</v>
      </c>
      <c r="F384" s="46" t="s">
        <v>1580</v>
      </c>
    </row>
    <row r="385" spans="1:6" ht="72">
      <c r="A385" s="2">
        <v>81649</v>
      </c>
      <c r="B385" s="46" t="s">
        <v>1581</v>
      </c>
      <c r="C385" s="46" t="s">
        <v>1582</v>
      </c>
      <c r="D385" s="47" t="s">
        <v>669</v>
      </c>
      <c r="E385" s="46" t="s">
        <v>1583</v>
      </c>
      <c r="F385" s="46" t="s">
        <v>1584</v>
      </c>
    </row>
    <row r="386" spans="1:6" ht="48">
      <c r="A386" s="2">
        <v>11539</v>
      </c>
      <c r="B386" s="46" t="s">
        <v>1585</v>
      </c>
      <c r="C386" s="46" t="s">
        <v>1586</v>
      </c>
      <c r="D386" s="47" t="s">
        <v>692</v>
      </c>
      <c r="E386" s="46" t="s">
        <v>1587</v>
      </c>
      <c r="F386" s="46" t="s">
        <v>1588</v>
      </c>
    </row>
    <row r="387" spans="1:6" ht="48">
      <c r="A387" s="11">
        <v>64263</v>
      </c>
      <c r="B387" s="46" t="s">
        <v>1589</v>
      </c>
      <c r="C387" s="46" t="s">
        <v>1590</v>
      </c>
      <c r="D387" s="47" t="s">
        <v>728</v>
      </c>
      <c r="E387" s="46" t="s">
        <v>1591</v>
      </c>
      <c r="F387" s="46" t="s">
        <v>635</v>
      </c>
    </row>
    <row r="388" spans="1:6" ht="48">
      <c r="A388" s="11">
        <v>81126</v>
      </c>
      <c r="B388" s="46" t="s">
        <v>1592</v>
      </c>
      <c r="C388" s="46" t="s">
        <v>1593</v>
      </c>
      <c r="D388" s="47" t="s">
        <v>728</v>
      </c>
      <c r="E388" s="46" t="s">
        <v>1594</v>
      </c>
      <c r="F388" s="46" t="s">
        <v>1595</v>
      </c>
    </row>
    <row r="389" spans="1:6" ht="72">
      <c r="A389" s="11">
        <v>80566</v>
      </c>
      <c r="B389" s="46" t="s">
        <v>1596</v>
      </c>
      <c r="C389" s="46" t="s">
        <v>1597</v>
      </c>
      <c r="D389" s="47" t="s">
        <v>728</v>
      </c>
      <c r="E389" s="46" t="s">
        <v>1598</v>
      </c>
      <c r="F389" s="46" t="s">
        <v>1599</v>
      </c>
    </row>
    <row r="390" spans="1:6" ht="36">
      <c r="A390" s="11">
        <v>82030</v>
      </c>
      <c r="B390" s="46" t="s">
        <v>1600</v>
      </c>
      <c r="C390" s="46" t="s">
        <v>1601</v>
      </c>
      <c r="D390" s="47" t="s">
        <v>728</v>
      </c>
      <c r="E390" s="46" t="s">
        <v>1601</v>
      </c>
      <c r="F390" s="46" t="s">
        <v>1602</v>
      </c>
    </row>
    <row r="391" spans="1:6" ht="120">
      <c r="A391" s="11">
        <v>10262</v>
      </c>
      <c r="B391" s="46" t="s">
        <v>1603</v>
      </c>
      <c r="C391" s="46" t="s">
        <v>1604</v>
      </c>
      <c r="D391" s="47" t="s">
        <v>669</v>
      </c>
      <c r="E391" s="46" t="s">
        <v>636</v>
      </c>
      <c r="F391" s="46" t="s">
        <v>1605</v>
      </c>
    </row>
    <row r="392" spans="1:6" ht="36">
      <c r="A392" s="11">
        <v>71857</v>
      </c>
      <c r="B392" s="46" t="s">
        <v>1606</v>
      </c>
      <c r="C392" s="46" t="s">
        <v>1607</v>
      </c>
      <c r="D392" s="47" t="s">
        <v>728</v>
      </c>
      <c r="E392" s="46" t="s">
        <v>1608</v>
      </c>
      <c r="F392" s="46" t="s">
        <v>1602</v>
      </c>
    </row>
    <row r="393" spans="1:6" ht="108">
      <c r="A393" s="11">
        <v>73404</v>
      </c>
      <c r="B393" s="46" t="s">
        <v>1609</v>
      </c>
      <c r="C393" s="46" t="s">
        <v>1610</v>
      </c>
      <c r="D393" s="47" t="s">
        <v>669</v>
      </c>
      <c r="E393" s="46" t="s">
        <v>1610</v>
      </c>
      <c r="F393" s="46" t="s">
        <v>1611</v>
      </c>
    </row>
    <row r="394" spans="1:6" ht="204">
      <c r="A394" s="11">
        <v>74364</v>
      </c>
      <c r="B394" s="46" t="s">
        <v>1612</v>
      </c>
      <c r="C394" s="46" t="s">
        <v>1613</v>
      </c>
      <c r="D394" s="47" t="s">
        <v>669</v>
      </c>
      <c r="E394" s="46" t="s">
        <v>1613</v>
      </c>
      <c r="F394" s="46" t="s">
        <v>1614</v>
      </c>
    </row>
    <row r="395" spans="1:6" ht="60">
      <c r="A395" s="11">
        <v>77088</v>
      </c>
      <c r="B395" s="46" t="s">
        <v>1615</v>
      </c>
      <c r="C395" s="46" t="s">
        <v>1616</v>
      </c>
      <c r="D395" s="47" t="s">
        <v>669</v>
      </c>
      <c r="E395" s="46" t="s">
        <v>1616</v>
      </c>
      <c r="F395" s="46" t="s">
        <v>1617</v>
      </c>
    </row>
    <row r="396" spans="1:6" ht="96">
      <c r="A396" s="11">
        <v>78554</v>
      </c>
      <c r="B396" s="46" t="s">
        <v>1618</v>
      </c>
      <c r="C396" s="46" t="s">
        <v>1619</v>
      </c>
      <c r="D396" s="47" t="s">
        <v>728</v>
      </c>
      <c r="E396" s="46" t="s">
        <v>1619</v>
      </c>
      <c r="F396" s="46" t="s">
        <v>1620</v>
      </c>
    </row>
    <row r="397" spans="1:6" ht="72">
      <c r="A397" s="11">
        <v>80568</v>
      </c>
      <c r="B397" s="46" t="s">
        <v>1621</v>
      </c>
      <c r="C397" s="46" t="s">
        <v>1622</v>
      </c>
      <c r="D397" s="47" t="s">
        <v>728</v>
      </c>
      <c r="E397" s="46" t="s">
        <v>1622</v>
      </c>
      <c r="F397" s="46" t="s">
        <v>1623</v>
      </c>
    </row>
    <row r="398" spans="1:6" ht="36">
      <c r="A398" s="11">
        <v>82032</v>
      </c>
      <c r="B398" s="46" t="s">
        <v>1624</v>
      </c>
      <c r="C398" s="46" t="s">
        <v>1625</v>
      </c>
      <c r="D398" s="47" t="s">
        <v>728</v>
      </c>
      <c r="E398" s="46" t="s">
        <v>1626</v>
      </c>
      <c r="F398" s="46" t="s">
        <v>1627</v>
      </c>
    </row>
    <row r="399" spans="1:6" ht="24">
      <c r="A399" s="11">
        <v>72981</v>
      </c>
      <c r="B399" s="46" t="s">
        <v>637</v>
      </c>
      <c r="C399" s="46" t="s">
        <v>1628</v>
      </c>
      <c r="D399" s="47" t="s">
        <v>692</v>
      </c>
      <c r="E399" s="46" t="s">
        <v>1629</v>
      </c>
      <c r="F399" s="46" t="s">
        <v>1630</v>
      </c>
    </row>
    <row r="400" spans="1:6" ht="60">
      <c r="A400" s="11">
        <v>82828</v>
      </c>
      <c r="B400" s="46" t="s">
        <v>1631</v>
      </c>
      <c r="C400" s="46" t="s">
        <v>1632</v>
      </c>
      <c r="D400" s="47" t="s">
        <v>692</v>
      </c>
      <c r="E400" s="46" t="s">
        <v>1633</v>
      </c>
      <c r="F400" s="46" t="s">
        <v>1634</v>
      </c>
    </row>
    <row r="401" spans="1:6" ht="36">
      <c r="A401" s="11">
        <v>10297</v>
      </c>
      <c r="B401" s="46" t="s">
        <v>1635</v>
      </c>
      <c r="C401" s="46" t="s">
        <v>1636</v>
      </c>
      <c r="D401" s="47" t="s">
        <v>728</v>
      </c>
      <c r="E401" s="46" t="s">
        <v>1637</v>
      </c>
      <c r="F401" s="46" t="s">
        <v>1638</v>
      </c>
    </row>
    <row r="402" spans="1:6" ht="120">
      <c r="A402" s="11">
        <v>25216</v>
      </c>
      <c r="B402" s="46" t="s">
        <v>1639</v>
      </c>
      <c r="C402" s="46" t="s">
        <v>1640</v>
      </c>
      <c r="D402" s="47" t="s">
        <v>692</v>
      </c>
      <c r="E402" s="46" t="s">
        <v>1641</v>
      </c>
      <c r="F402" s="46" t="s">
        <v>1642</v>
      </c>
    </row>
    <row r="403" spans="1:6" ht="84">
      <c r="A403" s="11">
        <v>53337</v>
      </c>
      <c r="B403" s="46" t="s">
        <v>1643</v>
      </c>
      <c r="C403" s="46" t="s">
        <v>1644</v>
      </c>
      <c r="D403" s="47" t="s">
        <v>728</v>
      </c>
      <c r="E403" s="46" t="s">
        <v>1645</v>
      </c>
      <c r="F403" s="46" t="s">
        <v>1646</v>
      </c>
    </row>
    <row r="404" spans="1:6" ht="96">
      <c r="A404" s="11">
        <v>24327</v>
      </c>
      <c r="B404" s="46" t="s">
        <v>1647</v>
      </c>
      <c r="C404" s="46" t="s">
        <v>1648</v>
      </c>
      <c r="D404" s="47" t="s">
        <v>692</v>
      </c>
      <c r="E404" s="46" t="s">
        <v>1649</v>
      </c>
      <c r="F404" s="46" t="s">
        <v>1650</v>
      </c>
    </row>
    <row r="405" spans="1:6" ht="36">
      <c r="A405" s="11">
        <v>56211</v>
      </c>
      <c r="B405" s="46" t="s">
        <v>1651</v>
      </c>
      <c r="C405" s="46" t="s">
        <v>1652</v>
      </c>
      <c r="D405" s="47" t="s">
        <v>728</v>
      </c>
      <c r="E405" s="46" t="s">
        <v>1653</v>
      </c>
      <c r="F405" s="46" t="s">
        <v>1654</v>
      </c>
    </row>
    <row r="406" spans="1:6" ht="60">
      <c r="A406" s="11">
        <v>58327</v>
      </c>
      <c r="B406" s="46" t="s">
        <v>1655</v>
      </c>
      <c r="C406" s="46" t="s">
        <v>1656</v>
      </c>
      <c r="D406" s="47" t="s">
        <v>692</v>
      </c>
      <c r="E406" s="46" t="s">
        <v>638</v>
      </c>
      <c r="F406" s="46" t="s">
        <v>1657</v>
      </c>
    </row>
    <row r="407" spans="1:6" ht="36">
      <c r="A407" s="48">
        <v>10249</v>
      </c>
      <c r="B407" s="46" t="s">
        <v>1658</v>
      </c>
      <c r="C407" s="46" t="s">
        <v>1659</v>
      </c>
      <c r="D407" s="47" t="s">
        <v>728</v>
      </c>
      <c r="E407" s="46" t="s">
        <v>1660</v>
      </c>
      <c r="F407" s="46" t="s">
        <v>1661</v>
      </c>
    </row>
    <row r="408" spans="1:6" ht="36">
      <c r="A408" s="48">
        <v>19508</v>
      </c>
      <c r="B408" s="46" t="s">
        <v>1662</v>
      </c>
      <c r="C408" s="46" t="s">
        <v>1663</v>
      </c>
      <c r="D408" s="47" t="s">
        <v>6</v>
      </c>
      <c r="E408" s="46" t="s">
        <v>1664</v>
      </c>
      <c r="F408" s="46" t="s">
        <v>1665</v>
      </c>
    </row>
    <row r="409" spans="1:6" ht="108">
      <c r="A409" s="11">
        <v>33899</v>
      </c>
      <c r="B409" s="46" t="s">
        <v>1666</v>
      </c>
      <c r="C409" s="46" t="s">
        <v>1667</v>
      </c>
      <c r="D409" s="47" t="s">
        <v>692</v>
      </c>
      <c r="E409" s="46" t="s">
        <v>1668</v>
      </c>
      <c r="F409" s="46" t="s">
        <v>1669</v>
      </c>
    </row>
    <row r="410" spans="1:6" ht="36">
      <c r="A410" s="11">
        <v>70141</v>
      </c>
      <c r="B410" s="46" t="s">
        <v>639</v>
      </c>
      <c r="C410" s="46" t="s">
        <v>1670</v>
      </c>
      <c r="D410" s="47" t="s">
        <v>13</v>
      </c>
      <c r="E410" s="46" t="s">
        <v>1671</v>
      </c>
      <c r="F410" s="46" t="s">
        <v>1672</v>
      </c>
    </row>
    <row r="411" spans="1:6" ht="48">
      <c r="A411" s="11">
        <v>76357</v>
      </c>
      <c r="B411" s="40" t="s">
        <v>1673</v>
      </c>
      <c r="C411" s="46" t="s">
        <v>1674</v>
      </c>
      <c r="D411" s="47" t="s">
        <v>12</v>
      </c>
      <c r="E411" s="46" t="s">
        <v>1675</v>
      </c>
      <c r="F411" s="46" t="s">
        <v>1676</v>
      </c>
    </row>
    <row r="412" spans="1:6" ht="36">
      <c r="A412" s="11">
        <v>58811</v>
      </c>
      <c r="B412" s="40" t="s">
        <v>1677</v>
      </c>
      <c r="C412" s="46" t="s">
        <v>1678</v>
      </c>
      <c r="D412" s="47" t="s">
        <v>14</v>
      </c>
      <c r="E412" s="46" t="s">
        <v>1679</v>
      </c>
      <c r="F412" s="46" t="s">
        <v>1680</v>
      </c>
    </row>
    <row r="413" spans="1:6" ht="36">
      <c r="A413" s="11">
        <v>59851</v>
      </c>
      <c r="B413" s="40" t="s">
        <v>489</v>
      </c>
      <c r="C413" s="46" t="s">
        <v>1681</v>
      </c>
      <c r="D413" s="47" t="s">
        <v>13</v>
      </c>
      <c r="E413" s="46" t="s">
        <v>1682</v>
      </c>
      <c r="F413" s="46" t="s">
        <v>1683</v>
      </c>
    </row>
    <row r="414" spans="1:6" ht="48">
      <c r="A414" s="11">
        <v>66541</v>
      </c>
      <c r="B414" s="40" t="s">
        <v>1684</v>
      </c>
      <c r="C414" s="46" t="s">
        <v>1685</v>
      </c>
      <c r="D414" s="47" t="s">
        <v>13</v>
      </c>
      <c r="E414" s="46" t="s">
        <v>1686</v>
      </c>
      <c r="F414" s="46" t="s">
        <v>1687</v>
      </c>
    </row>
    <row r="415" spans="1:6" ht="84">
      <c r="A415" s="11">
        <v>70118</v>
      </c>
      <c r="B415" s="46" t="s">
        <v>1688</v>
      </c>
      <c r="C415" s="46" t="s">
        <v>1689</v>
      </c>
      <c r="D415" s="47" t="s">
        <v>13</v>
      </c>
      <c r="E415" s="46" t="s">
        <v>1690</v>
      </c>
      <c r="F415" s="46" t="s">
        <v>1691</v>
      </c>
    </row>
    <row r="416" spans="1:6" ht="36">
      <c r="A416" s="11">
        <v>72959</v>
      </c>
      <c r="B416" s="40" t="s">
        <v>490</v>
      </c>
      <c r="C416" s="46" t="s">
        <v>1692</v>
      </c>
      <c r="D416" s="47" t="s">
        <v>12</v>
      </c>
      <c r="E416" s="46" t="s">
        <v>1693</v>
      </c>
      <c r="F416" s="46" t="s">
        <v>640</v>
      </c>
    </row>
    <row r="417" spans="1:7" ht="204">
      <c r="A417" s="11">
        <v>76345</v>
      </c>
      <c r="B417" s="40" t="s">
        <v>1694</v>
      </c>
      <c r="C417" s="46" t="s">
        <v>1695</v>
      </c>
      <c r="D417" s="47" t="s">
        <v>13</v>
      </c>
      <c r="E417" s="46" t="s">
        <v>1696</v>
      </c>
      <c r="F417" s="46" t="s">
        <v>641</v>
      </c>
      <c r="G417" s="41"/>
    </row>
    <row r="418" spans="1:7" ht="36">
      <c r="A418" s="11">
        <v>78090</v>
      </c>
      <c r="B418" s="40" t="s">
        <v>491</v>
      </c>
      <c r="C418" s="46" t="s">
        <v>1697</v>
      </c>
      <c r="D418" s="47" t="s">
        <v>13</v>
      </c>
      <c r="E418" s="46" t="s">
        <v>1698</v>
      </c>
      <c r="F418" s="46" t="s">
        <v>1699</v>
      </c>
    </row>
    <row r="419" spans="1:7" ht="120">
      <c r="A419" s="11">
        <v>71774</v>
      </c>
      <c r="B419" s="46" t="s">
        <v>1700</v>
      </c>
      <c r="C419" s="46" t="s">
        <v>1701</v>
      </c>
      <c r="D419" s="47" t="s">
        <v>12</v>
      </c>
      <c r="E419" s="46" t="s">
        <v>1702</v>
      </c>
      <c r="F419" s="46" t="s">
        <v>1703</v>
      </c>
    </row>
    <row r="420" spans="1:7" ht="72">
      <c r="A420" s="11">
        <v>73917</v>
      </c>
      <c r="B420" s="40" t="s">
        <v>1704</v>
      </c>
      <c r="C420" s="46" t="s">
        <v>1705</v>
      </c>
      <c r="D420" s="47" t="s">
        <v>13</v>
      </c>
      <c r="E420" s="46" t="s">
        <v>1706</v>
      </c>
      <c r="F420" s="46" t="s">
        <v>1707</v>
      </c>
    </row>
    <row r="421" spans="1:7" ht="48">
      <c r="A421" s="11">
        <v>74470</v>
      </c>
      <c r="B421" s="40" t="s">
        <v>1708</v>
      </c>
      <c r="C421" s="46" t="s">
        <v>1709</v>
      </c>
      <c r="D421" s="47" t="s">
        <v>12</v>
      </c>
      <c r="E421" s="46" t="s">
        <v>1710</v>
      </c>
      <c r="F421" s="46" t="s">
        <v>1711</v>
      </c>
    </row>
    <row r="422" spans="1:7" ht="60">
      <c r="A422" s="11">
        <v>78108</v>
      </c>
      <c r="B422" s="40" t="s">
        <v>1712</v>
      </c>
      <c r="C422" s="46" t="s">
        <v>1713</v>
      </c>
      <c r="D422" s="47" t="s">
        <v>12</v>
      </c>
      <c r="E422" s="46" t="s">
        <v>1714</v>
      </c>
      <c r="F422" s="46" t="s">
        <v>1715</v>
      </c>
    </row>
    <row r="423" spans="1:7" ht="60">
      <c r="A423" s="11">
        <v>81085</v>
      </c>
      <c r="B423" s="40" t="s">
        <v>1716</v>
      </c>
      <c r="C423" s="46" t="s">
        <v>1717</v>
      </c>
      <c r="D423" s="47" t="s">
        <v>13</v>
      </c>
      <c r="E423" s="46" t="s">
        <v>1718</v>
      </c>
      <c r="F423" s="46" t="s">
        <v>1719</v>
      </c>
    </row>
    <row r="424" spans="1:7" ht="72">
      <c r="A424" s="11">
        <v>33548</v>
      </c>
      <c r="B424" s="46" t="s">
        <v>1720</v>
      </c>
      <c r="C424" s="46" t="s">
        <v>1721</v>
      </c>
      <c r="D424" s="47" t="s">
        <v>12</v>
      </c>
      <c r="E424" s="46" t="s">
        <v>1722</v>
      </c>
      <c r="F424" s="40" t="s">
        <v>1723</v>
      </c>
    </row>
    <row r="425" spans="1:7" ht="36">
      <c r="A425" s="11">
        <v>34694</v>
      </c>
      <c r="B425" s="46" t="s">
        <v>1724</v>
      </c>
      <c r="C425" s="46" t="s">
        <v>1725</v>
      </c>
      <c r="D425" s="47" t="s">
        <v>12</v>
      </c>
      <c r="E425" s="46" t="s">
        <v>1726</v>
      </c>
      <c r="F425" s="46" t="s">
        <v>1727</v>
      </c>
    </row>
    <row r="426" spans="1:7" ht="60">
      <c r="A426" s="11">
        <v>38832</v>
      </c>
      <c r="B426" s="40" t="s">
        <v>1728</v>
      </c>
      <c r="C426" s="46" t="s">
        <v>1729</v>
      </c>
      <c r="D426" s="47" t="s">
        <v>12</v>
      </c>
      <c r="E426" s="46" t="s">
        <v>1730</v>
      </c>
      <c r="F426" s="40" t="s">
        <v>1731</v>
      </c>
    </row>
    <row r="427" spans="1:7" ht="120">
      <c r="A427" s="11">
        <v>46015</v>
      </c>
      <c r="B427" s="46" t="s">
        <v>1732</v>
      </c>
      <c r="C427" s="46" t="s">
        <v>1733</v>
      </c>
      <c r="D427" s="47" t="s">
        <v>14</v>
      </c>
      <c r="E427" s="46" t="s">
        <v>1734</v>
      </c>
      <c r="F427" s="40" t="s">
        <v>1735</v>
      </c>
    </row>
    <row r="428" spans="1:7" ht="60">
      <c r="A428" s="11">
        <v>46677</v>
      </c>
      <c r="B428" s="46" t="s">
        <v>1736</v>
      </c>
      <c r="C428" s="46" t="s">
        <v>1737</v>
      </c>
      <c r="D428" s="47" t="s">
        <v>13</v>
      </c>
      <c r="E428" s="46" t="s">
        <v>1738</v>
      </c>
      <c r="F428" s="40" t="s">
        <v>1739</v>
      </c>
    </row>
    <row r="429" spans="1:7" ht="84">
      <c r="A429" s="11">
        <v>49272</v>
      </c>
      <c r="B429" s="46" t="s">
        <v>1740</v>
      </c>
      <c r="C429" s="46" t="s">
        <v>1741</v>
      </c>
      <c r="D429" s="47" t="s">
        <v>13</v>
      </c>
      <c r="E429" s="46" t="s">
        <v>1742</v>
      </c>
      <c r="F429" s="46" t="s">
        <v>1743</v>
      </c>
    </row>
    <row r="430" spans="1:7" ht="96">
      <c r="A430" s="11">
        <v>53532</v>
      </c>
      <c r="B430" s="46" t="s">
        <v>1744</v>
      </c>
      <c r="C430" s="46" t="s">
        <v>1745</v>
      </c>
      <c r="D430" s="47" t="s">
        <v>14</v>
      </c>
      <c r="E430" s="46" t="s">
        <v>1746</v>
      </c>
      <c r="F430" s="46" t="s">
        <v>1747</v>
      </c>
    </row>
    <row r="431" spans="1:7" ht="84">
      <c r="A431" s="11">
        <v>76457</v>
      </c>
      <c r="B431" s="46" t="s">
        <v>1748</v>
      </c>
      <c r="C431" s="46" t="s">
        <v>1749</v>
      </c>
      <c r="D431" s="47" t="s">
        <v>12</v>
      </c>
      <c r="E431" s="46" t="s">
        <v>1750</v>
      </c>
      <c r="F431" s="46" t="s">
        <v>1751</v>
      </c>
    </row>
    <row r="432" spans="1:7" ht="84">
      <c r="A432" s="42">
        <v>77728</v>
      </c>
      <c r="B432" s="46" t="s">
        <v>1752</v>
      </c>
      <c r="C432" s="46" t="s">
        <v>1753</v>
      </c>
      <c r="D432" s="47" t="s">
        <v>14</v>
      </c>
      <c r="E432" s="46" t="s">
        <v>1754</v>
      </c>
      <c r="F432" s="46" t="s">
        <v>1755</v>
      </c>
    </row>
    <row r="433" spans="1:6" ht="84">
      <c r="A433" s="42">
        <v>79865</v>
      </c>
      <c r="B433" s="46" t="s">
        <v>492</v>
      </c>
      <c r="C433" s="46" t="s">
        <v>1756</v>
      </c>
      <c r="D433" s="47" t="s">
        <v>14</v>
      </c>
      <c r="E433" s="46" t="s">
        <v>1757</v>
      </c>
      <c r="F433" s="46" t="s">
        <v>1758</v>
      </c>
    </row>
    <row r="434" spans="1:6" ht="60">
      <c r="A434" s="42">
        <v>81146</v>
      </c>
      <c r="B434" s="46" t="s">
        <v>1759</v>
      </c>
      <c r="C434" s="46" t="s">
        <v>1760</v>
      </c>
      <c r="D434" s="47" t="s">
        <v>13</v>
      </c>
      <c r="E434" s="46" t="s">
        <v>1761</v>
      </c>
      <c r="F434" s="46" t="s">
        <v>1762</v>
      </c>
    </row>
    <row r="435" spans="1:6" ht="108">
      <c r="A435" s="11">
        <v>53534</v>
      </c>
      <c r="B435" s="46" t="s">
        <v>493</v>
      </c>
      <c r="C435" s="46" t="s">
        <v>1763</v>
      </c>
      <c r="D435" s="47" t="s">
        <v>13</v>
      </c>
      <c r="E435" s="46" t="s">
        <v>1764</v>
      </c>
      <c r="F435" s="46" t="s">
        <v>1765</v>
      </c>
    </row>
    <row r="436" spans="1:6" ht="84">
      <c r="A436" s="42">
        <v>12054</v>
      </c>
      <c r="B436" s="46" t="s">
        <v>1766</v>
      </c>
      <c r="C436" s="46" t="s">
        <v>1767</v>
      </c>
      <c r="D436" s="47" t="s">
        <v>14</v>
      </c>
      <c r="E436" s="46" t="s">
        <v>1768</v>
      </c>
      <c r="F436" s="46" t="s">
        <v>1769</v>
      </c>
    </row>
    <row r="437" spans="1:6" ht="48">
      <c r="A437" s="42">
        <v>76496</v>
      </c>
      <c r="B437" s="46" t="s">
        <v>1770</v>
      </c>
      <c r="C437" s="46" t="s">
        <v>1771</v>
      </c>
      <c r="D437" s="47" t="s">
        <v>12</v>
      </c>
      <c r="E437" s="46" t="s">
        <v>1772</v>
      </c>
      <c r="F437" s="46" t="s">
        <v>1773</v>
      </c>
    </row>
    <row r="438" spans="1:6" ht="36">
      <c r="A438" s="42">
        <v>76497</v>
      </c>
      <c r="B438" s="46" t="s">
        <v>1774</v>
      </c>
      <c r="C438" s="46" t="s">
        <v>1775</v>
      </c>
      <c r="D438" s="47" t="s">
        <v>12</v>
      </c>
      <c r="E438" s="46" t="s">
        <v>1776</v>
      </c>
      <c r="F438" s="46" t="s">
        <v>1777</v>
      </c>
    </row>
    <row r="439" spans="1:6" ht="60">
      <c r="A439" s="42">
        <v>76498</v>
      </c>
      <c r="B439" s="46" t="s">
        <v>1778</v>
      </c>
      <c r="C439" s="46" t="s">
        <v>1779</v>
      </c>
      <c r="D439" s="47" t="s">
        <v>12</v>
      </c>
      <c r="E439" s="46" t="s">
        <v>1780</v>
      </c>
      <c r="F439" s="46" t="s">
        <v>1781</v>
      </c>
    </row>
    <row r="440" spans="1:6" ht="132">
      <c r="A440" s="11">
        <v>80101</v>
      </c>
      <c r="B440" s="46" t="s">
        <v>1782</v>
      </c>
      <c r="C440" s="46" t="s">
        <v>1783</v>
      </c>
      <c r="D440" s="47" t="s">
        <v>13</v>
      </c>
      <c r="E440" s="46" t="s">
        <v>1784</v>
      </c>
      <c r="F440" s="46" t="s">
        <v>1785</v>
      </c>
    </row>
    <row r="441" spans="1:6" ht="60">
      <c r="A441" s="42">
        <v>81650</v>
      </c>
      <c r="B441" s="46" t="s">
        <v>1786</v>
      </c>
      <c r="C441" s="46" t="s">
        <v>1787</v>
      </c>
      <c r="D441" s="47" t="s">
        <v>13</v>
      </c>
      <c r="E441" s="46" t="s">
        <v>1787</v>
      </c>
      <c r="F441" s="46" t="s">
        <v>1788</v>
      </c>
    </row>
    <row r="442" spans="1:6" ht="48">
      <c r="A442" s="2">
        <v>62662</v>
      </c>
      <c r="B442" s="46" t="s">
        <v>642</v>
      </c>
      <c r="C442" s="46" t="s">
        <v>1789</v>
      </c>
      <c r="D442" s="47" t="s">
        <v>692</v>
      </c>
      <c r="E442" s="46" t="s">
        <v>1790</v>
      </c>
      <c r="F442" s="46" t="s">
        <v>1791</v>
      </c>
    </row>
    <row r="443" spans="1:6" ht="108">
      <c r="A443" s="2">
        <v>63623</v>
      </c>
      <c r="B443" s="46" t="s">
        <v>1792</v>
      </c>
      <c r="C443" s="46" t="s">
        <v>1793</v>
      </c>
      <c r="D443" s="47" t="s">
        <v>692</v>
      </c>
      <c r="E443" s="46" t="s">
        <v>1794</v>
      </c>
      <c r="F443" s="46" t="s">
        <v>1795</v>
      </c>
    </row>
    <row r="444" spans="1:6" ht="36">
      <c r="A444" s="2">
        <v>65997</v>
      </c>
      <c r="B444" s="46" t="s">
        <v>1796</v>
      </c>
      <c r="C444" s="46" t="s">
        <v>1797</v>
      </c>
      <c r="D444" s="47" t="s">
        <v>692</v>
      </c>
      <c r="E444" s="46" t="s">
        <v>1798</v>
      </c>
      <c r="F444" s="46" t="s">
        <v>1799</v>
      </c>
    </row>
    <row r="445" spans="1:6" ht="48">
      <c r="A445" s="2">
        <v>58798</v>
      </c>
      <c r="B445" s="46" t="s">
        <v>1800</v>
      </c>
      <c r="C445" s="46" t="s">
        <v>1801</v>
      </c>
      <c r="D445" s="47" t="s">
        <v>692</v>
      </c>
      <c r="E445" s="46" t="s">
        <v>1802</v>
      </c>
      <c r="F445" s="46" t="s">
        <v>1803</v>
      </c>
    </row>
    <row r="446" spans="1:6" ht="36">
      <c r="A446" s="2">
        <v>56653</v>
      </c>
      <c r="B446" s="46" t="s">
        <v>1804</v>
      </c>
      <c r="C446" s="46" t="s">
        <v>1805</v>
      </c>
      <c r="D446" s="47" t="s">
        <v>692</v>
      </c>
      <c r="E446" s="46" t="s">
        <v>1806</v>
      </c>
      <c r="F446" s="46" t="s">
        <v>1807</v>
      </c>
    </row>
    <row r="447" spans="1:6" ht="36">
      <c r="A447" s="2">
        <v>56056</v>
      </c>
      <c r="B447" s="46" t="s">
        <v>1808</v>
      </c>
      <c r="C447" s="46" t="s">
        <v>1809</v>
      </c>
      <c r="D447" s="47" t="s">
        <v>692</v>
      </c>
      <c r="E447" s="46" t="s">
        <v>1810</v>
      </c>
      <c r="F447" s="46" t="s">
        <v>1811</v>
      </c>
    </row>
    <row r="448" spans="1:6" ht="36">
      <c r="A448" s="2">
        <v>56066</v>
      </c>
      <c r="B448" s="46" t="s">
        <v>1812</v>
      </c>
      <c r="C448" s="46" t="s">
        <v>1813</v>
      </c>
      <c r="D448" s="47" t="s">
        <v>692</v>
      </c>
      <c r="E448" s="46" t="s">
        <v>1814</v>
      </c>
      <c r="F448" s="46" t="s">
        <v>1815</v>
      </c>
    </row>
    <row r="449" spans="1:6" ht="36">
      <c r="A449" s="2">
        <v>56057</v>
      </c>
      <c r="B449" s="46" t="s">
        <v>1816</v>
      </c>
      <c r="C449" s="46" t="s">
        <v>1817</v>
      </c>
      <c r="D449" s="47" t="s">
        <v>669</v>
      </c>
      <c r="E449" s="46" t="s">
        <v>1818</v>
      </c>
      <c r="F449" s="46" t="s">
        <v>1819</v>
      </c>
    </row>
    <row r="450" spans="1:6" ht="36">
      <c r="A450" s="2">
        <v>56058</v>
      </c>
      <c r="B450" s="46" t="s">
        <v>1820</v>
      </c>
      <c r="C450" s="46" t="s">
        <v>1821</v>
      </c>
      <c r="D450" s="47" t="s">
        <v>669</v>
      </c>
      <c r="E450" s="46" t="s">
        <v>1822</v>
      </c>
      <c r="F450" s="46" t="s">
        <v>1823</v>
      </c>
    </row>
    <row r="451" spans="1:6" ht="36">
      <c r="A451" s="2">
        <v>56065</v>
      </c>
      <c r="B451" s="46" t="s">
        <v>1824</v>
      </c>
      <c r="C451" s="46" t="s">
        <v>1825</v>
      </c>
      <c r="D451" s="47" t="s">
        <v>669</v>
      </c>
      <c r="E451" s="46" t="s">
        <v>1826</v>
      </c>
      <c r="F451" s="46" t="s">
        <v>1827</v>
      </c>
    </row>
    <row r="452" spans="1:6" ht="48">
      <c r="A452" s="2">
        <v>56060</v>
      </c>
      <c r="B452" s="46" t="s">
        <v>1828</v>
      </c>
      <c r="C452" s="46" t="s">
        <v>1829</v>
      </c>
      <c r="D452" s="47" t="s">
        <v>669</v>
      </c>
      <c r="E452" s="46" t="s">
        <v>1830</v>
      </c>
      <c r="F452" s="46" t="s">
        <v>1831</v>
      </c>
    </row>
    <row r="453" spans="1:6" ht="48">
      <c r="A453" s="2">
        <v>56064</v>
      </c>
      <c r="B453" s="46" t="s">
        <v>1832</v>
      </c>
      <c r="C453" s="46" t="s">
        <v>1833</v>
      </c>
      <c r="D453" s="47" t="s">
        <v>669</v>
      </c>
      <c r="E453" s="46" t="s">
        <v>1834</v>
      </c>
      <c r="F453" s="46" t="s">
        <v>1835</v>
      </c>
    </row>
    <row r="454" spans="1:6" ht="48">
      <c r="A454" s="2">
        <v>50652</v>
      </c>
      <c r="B454" s="46" t="s">
        <v>1836</v>
      </c>
      <c r="C454" s="46" t="s">
        <v>1837</v>
      </c>
      <c r="D454" s="47" t="s">
        <v>669</v>
      </c>
      <c r="E454" s="46" t="s">
        <v>1838</v>
      </c>
      <c r="F454" s="46" t="s">
        <v>1839</v>
      </c>
    </row>
    <row r="455" spans="1:6" ht="36">
      <c r="A455" s="2">
        <v>51573</v>
      </c>
      <c r="B455" s="46" t="s">
        <v>1840</v>
      </c>
      <c r="C455" s="46" t="s">
        <v>1841</v>
      </c>
      <c r="D455" s="47" t="s">
        <v>669</v>
      </c>
      <c r="E455" s="46" t="s">
        <v>1842</v>
      </c>
      <c r="F455" s="46" t="s">
        <v>1843</v>
      </c>
    </row>
    <row r="456" spans="1:6" ht="48">
      <c r="A456" s="2">
        <v>53897</v>
      </c>
      <c r="B456" s="46" t="s">
        <v>1844</v>
      </c>
      <c r="C456" s="46" t="s">
        <v>1845</v>
      </c>
      <c r="D456" s="47" t="s">
        <v>669</v>
      </c>
      <c r="E456" s="46" t="s">
        <v>1846</v>
      </c>
      <c r="F456" s="46" t="s">
        <v>494</v>
      </c>
    </row>
    <row r="457" spans="1:6" ht="36">
      <c r="A457" s="2">
        <v>55632</v>
      </c>
      <c r="B457" s="46" t="s">
        <v>1847</v>
      </c>
      <c r="C457" s="46" t="s">
        <v>1848</v>
      </c>
      <c r="D457" s="47" t="s">
        <v>669</v>
      </c>
      <c r="E457" s="46" t="s">
        <v>1849</v>
      </c>
      <c r="F457" s="46" t="s">
        <v>1850</v>
      </c>
    </row>
    <row r="458" spans="1:6" ht="36">
      <c r="A458" s="11">
        <v>14343</v>
      </c>
      <c r="B458" s="46" t="s">
        <v>1851</v>
      </c>
      <c r="C458" s="46" t="s">
        <v>1852</v>
      </c>
      <c r="D458" s="47" t="s">
        <v>728</v>
      </c>
      <c r="E458" s="46" t="s">
        <v>1853</v>
      </c>
      <c r="F458" s="46" t="s">
        <v>1854</v>
      </c>
    </row>
    <row r="459" spans="1:6" ht="72">
      <c r="A459" s="11">
        <v>15449</v>
      </c>
      <c r="B459" s="46" t="s">
        <v>1855</v>
      </c>
      <c r="C459" s="46" t="s">
        <v>1856</v>
      </c>
      <c r="D459" s="47" t="s">
        <v>669</v>
      </c>
      <c r="E459" s="46" t="s">
        <v>1857</v>
      </c>
      <c r="F459" s="46" t="s">
        <v>1858</v>
      </c>
    </row>
    <row r="460" spans="1:6" ht="48">
      <c r="A460" s="47">
        <v>10068</v>
      </c>
      <c r="B460" s="46" t="s">
        <v>1859</v>
      </c>
      <c r="C460" s="46" t="s">
        <v>1860</v>
      </c>
      <c r="D460" s="47" t="s">
        <v>12</v>
      </c>
      <c r="E460" s="46" t="s">
        <v>1861</v>
      </c>
      <c r="F460" s="46" t="s">
        <v>1862</v>
      </c>
    </row>
    <row r="461" spans="1:6" ht="24">
      <c r="A461" s="47">
        <v>11058</v>
      </c>
      <c r="B461" s="46" t="s">
        <v>1863</v>
      </c>
      <c r="C461" s="46" t="s">
        <v>1864</v>
      </c>
      <c r="D461" s="47" t="s">
        <v>12</v>
      </c>
      <c r="E461" s="46" t="s">
        <v>1865</v>
      </c>
      <c r="F461" s="46" t="s">
        <v>1866</v>
      </c>
    </row>
    <row r="462" spans="1:6" ht="72">
      <c r="A462" s="47">
        <v>71428</v>
      </c>
      <c r="B462" s="46" t="s">
        <v>1867</v>
      </c>
      <c r="C462" s="46" t="s">
        <v>1868</v>
      </c>
      <c r="D462" s="47" t="s">
        <v>12</v>
      </c>
      <c r="E462" s="46" t="s">
        <v>1869</v>
      </c>
      <c r="F462" s="9" t="s">
        <v>1870</v>
      </c>
    </row>
    <row r="463" spans="1:6" ht="24">
      <c r="A463" s="47">
        <v>71928</v>
      </c>
      <c r="B463" s="46" t="s">
        <v>1871</v>
      </c>
      <c r="C463" s="46" t="s">
        <v>495</v>
      </c>
      <c r="D463" s="47" t="s">
        <v>13</v>
      </c>
      <c r="E463" s="9" t="s">
        <v>866</v>
      </c>
      <c r="F463" s="9" t="s">
        <v>1872</v>
      </c>
    </row>
    <row r="464" spans="1:6" ht="48">
      <c r="A464" s="47">
        <v>72511</v>
      </c>
      <c r="B464" s="46" t="s">
        <v>496</v>
      </c>
      <c r="C464" s="46" t="s">
        <v>497</v>
      </c>
      <c r="D464" s="47" t="s">
        <v>13</v>
      </c>
      <c r="E464" s="46" t="s">
        <v>1873</v>
      </c>
      <c r="F464" s="9" t="s">
        <v>498</v>
      </c>
    </row>
    <row r="465" spans="1:6" ht="24">
      <c r="A465" s="47">
        <v>72882</v>
      </c>
      <c r="B465" s="46" t="s">
        <v>499</v>
      </c>
      <c r="C465" s="46" t="s">
        <v>500</v>
      </c>
      <c r="D465" s="47" t="s">
        <v>13</v>
      </c>
      <c r="E465" s="9" t="s">
        <v>866</v>
      </c>
      <c r="F465" s="9" t="s">
        <v>501</v>
      </c>
    </row>
    <row r="466" spans="1:6" ht="84">
      <c r="A466" s="47">
        <v>73411</v>
      </c>
      <c r="B466" s="46" t="s">
        <v>502</v>
      </c>
      <c r="C466" s="46" t="s">
        <v>1874</v>
      </c>
      <c r="D466" s="47" t="s">
        <v>12</v>
      </c>
      <c r="E466" s="46" t="s">
        <v>1875</v>
      </c>
      <c r="F466" s="9" t="s">
        <v>503</v>
      </c>
    </row>
    <row r="467" spans="1:6" ht="84">
      <c r="A467" s="47">
        <v>73863</v>
      </c>
      <c r="B467" s="46" t="s">
        <v>504</v>
      </c>
      <c r="C467" s="46" t="s">
        <v>505</v>
      </c>
      <c r="D467" s="47" t="s">
        <v>12</v>
      </c>
      <c r="E467" s="46" t="s">
        <v>1876</v>
      </c>
      <c r="F467" s="9" t="s">
        <v>506</v>
      </c>
    </row>
    <row r="468" spans="1:6" ht="60">
      <c r="A468" s="47">
        <v>74292</v>
      </c>
      <c r="B468" s="46" t="s">
        <v>507</v>
      </c>
      <c r="C468" s="46" t="s">
        <v>508</v>
      </c>
      <c r="D468" s="47" t="s">
        <v>12</v>
      </c>
      <c r="E468" s="46" t="s">
        <v>1877</v>
      </c>
      <c r="F468" s="9" t="s">
        <v>509</v>
      </c>
    </row>
    <row r="469" spans="1:6" ht="24">
      <c r="A469" s="47">
        <v>76282</v>
      </c>
      <c r="B469" s="46" t="s">
        <v>510</v>
      </c>
      <c r="C469" s="46" t="s">
        <v>511</v>
      </c>
      <c r="D469" s="47" t="s">
        <v>14</v>
      </c>
      <c r="E469" s="9" t="s">
        <v>1878</v>
      </c>
      <c r="F469" s="9" t="s">
        <v>512</v>
      </c>
    </row>
    <row r="470" spans="1:6" ht="24">
      <c r="A470" s="47">
        <v>76772</v>
      </c>
      <c r="B470" s="46" t="s">
        <v>513</v>
      </c>
      <c r="C470" s="46" t="s">
        <v>514</v>
      </c>
      <c r="D470" s="47" t="s">
        <v>12</v>
      </c>
      <c r="E470" s="9" t="s">
        <v>1878</v>
      </c>
      <c r="F470" s="9" t="s">
        <v>515</v>
      </c>
    </row>
    <row r="471" spans="1:6" ht="24">
      <c r="A471" s="47">
        <v>77403</v>
      </c>
      <c r="B471" s="46" t="s">
        <v>545</v>
      </c>
      <c r="C471" s="46" t="s">
        <v>516</v>
      </c>
      <c r="D471" s="47" t="s">
        <v>13</v>
      </c>
      <c r="E471" s="9" t="s">
        <v>643</v>
      </c>
      <c r="F471" s="9" t="s">
        <v>517</v>
      </c>
    </row>
    <row r="472" spans="1:6" ht="24">
      <c r="A472" s="47">
        <v>78546</v>
      </c>
      <c r="B472" s="46" t="s">
        <v>518</v>
      </c>
      <c r="C472" s="46" t="s">
        <v>519</v>
      </c>
      <c r="D472" s="47" t="s">
        <v>13</v>
      </c>
      <c r="E472" s="9" t="s">
        <v>1878</v>
      </c>
      <c r="F472" s="9" t="s">
        <v>520</v>
      </c>
    </row>
    <row r="473" spans="1:6" ht="60">
      <c r="A473" s="47">
        <v>79247</v>
      </c>
      <c r="B473" s="46" t="s">
        <v>521</v>
      </c>
      <c r="C473" s="46" t="s">
        <v>522</v>
      </c>
      <c r="D473" s="47" t="s">
        <v>13</v>
      </c>
      <c r="E473" s="46" t="s">
        <v>1879</v>
      </c>
      <c r="F473" s="9" t="s">
        <v>523</v>
      </c>
    </row>
    <row r="474" spans="1:6" ht="48">
      <c r="A474" s="47">
        <v>80331</v>
      </c>
      <c r="B474" s="46" t="s">
        <v>524</v>
      </c>
      <c r="C474" s="46" t="s">
        <v>525</v>
      </c>
      <c r="D474" s="47" t="s">
        <v>13</v>
      </c>
      <c r="E474" s="46" t="s">
        <v>1880</v>
      </c>
      <c r="F474" s="9" t="s">
        <v>526</v>
      </c>
    </row>
    <row r="475" spans="1:6" ht="24">
      <c r="A475" s="47">
        <v>81081</v>
      </c>
      <c r="B475" s="46" t="s">
        <v>527</v>
      </c>
      <c r="C475" s="46" t="s">
        <v>528</v>
      </c>
      <c r="D475" s="47" t="s">
        <v>13</v>
      </c>
      <c r="E475" s="9" t="s">
        <v>1878</v>
      </c>
      <c r="F475" s="9" t="s">
        <v>529</v>
      </c>
    </row>
    <row r="476" spans="1:6" ht="36">
      <c r="A476" s="47">
        <v>81511</v>
      </c>
      <c r="B476" s="46" t="s">
        <v>530</v>
      </c>
      <c r="C476" s="46" t="s">
        <v>531</v>
      </c>
      <c r="D476" s="47" t="s">
        <v>13</v>
      </c>
      <c r="E476" s="9" t="s">
        <v>1878</v>
      </c>
      <c r="F476" s="9" t="s">
        <v>532</v>
      </c>
    </row>
    <row r="477" spans="1:6" ht="24">
      <c r="A477" s="47">
        <v>82026</v>
      </c>
      <c r="B477" s="46" t="s">
        <v>533</v>
      </c>
      <c r="C477" s="46" t="s">
        <v>534</v>
      </c>
      <c r="D477" s="47" t="s">
        <v>13</v>
      </c>
      <c r="E477" s="9" t="s">
        <v>1878</v>
      </c>
      <c r="F477" s="9" t="s">
        <v>535</v>
      </c>
    </row>
    <row r="478" spans="1:6" ht="24">
      <c r="A478" s="47">
        <v>83034</v>
      </c>
      <c r="B478" s="46" t="s">
        <v>536</v>
      </c>
      <c r="C478" s="46" t="s">
        <v>537</v>
      </c>
      <c r="D478" s="47" t="s">
        <v>13</v>
      </c>
      <c r="E478" s="9" t="s">
        <v>1878</v>
      </c>
      <c r="F478" s="9" t="s">
        <v>538</v>
      </c>
    </row>
    <row r="479" spans="1:6" ht="24">
      <c r="A479" s="47">
        <v>83518</v>
      </c>
      <c r="B479" s="46" t="s">
        <v>539</v>
      </c>
      <c r="C479" s="46" t="s">
        <v>540</v>
      </c>
      <c r="D479" s="47" t="s">
        <v>13</v>
      </c>
      <c r="E479" s="9" t="s">
        <v>1878</v>
      </c>
      <c r="F479" s="9" t="s">
        <v>1881</v>
      </c>
    </row>
    <row r="480" spans="1:6" ht="72">
      <c r="A480" s="47">
        <v>31423</v>
      </c>
      <c r="B480" s="46" t="s">
        <v>554</v>
      </c>
      <c r="C480" s="46" t="s">
        <v>555</v>
      </c>
      <c r="D480" s="47" t="s">
        <v>669</v>
      </c>
      <c r="E480" s="49" t="s">
        <v>556</v>
      </c>
      <c r="F480" s="46" t="s">
        <v>1882</v>
      </c>
    </row>
    <row r="481" spans="1:6" ht="96">
      <c r="A481" s="47">
        <v>23811</v>
      </c>
      <c r="B481" s="46" t="s">
        <v>1883</v>
      </c>
      <c r="C481" s="46" t="s">
        <v>557</v>
      </c>
      <c r="D481" s="47" t="s">
        <v>728</v>
      </c>
      <c r="E481" s="46" t="s">
        <v>1884</v>
      </c>
      <c r="F481" s="46" t="s">
        <v>1885</v>
      </c>
    </row>
    <row r="482" spans="1:6" ht="24">
      <c r="A482" s="47">
        <v>57620</v>
      </c>
      <c r="B482" s="46" t="s">
        <v>1886</v>
      </c>
      <c r="C482" s="46" t="s">
        <v>1887</v>
      </c>
      <c r="D482" s="47" t="s">
        <v>669</v>
      </c>
      <c r="E482" s="46" t="s">
        <v>1888</v>
      </c>
      <c r="F482" s="46" t="s">
        <v>1889</v>
      </c>
    </row>
    <row r="483" spans="1:6" ht="132">
      <c r="A483" s="47">
        <v>65223</v>
      </c>
      <c r="B483" s="46" t="s">
        <v>558</v>
      </c>
      <c r="C483" s="50" t="s">
        <v>559</v>
      </c>
      <c r="D483" s="47" t="s">
        <v>669</v>
      </c>
      <c r="E483" s="46" t="s">
        <v>1890</v>
      </c>
      <c r="F483" s="46" t="s">
        <v>1891</v>
      </c>
    </row>
    <row r="484" spans="1:6" ht="144">
      <c r="A484" s="47">
        <v>66274</v>
      </c>
      <c r="B484" s="46" t="s">
        <v>1892</v>
      </c>
      <c r="C484" s="46" t="s">
        <v>560</v>
      </c>
      <c r="D484" s="47" t="s">
        <v>728</v>
      </c>
      <c r="E484" s="46" t="s">
        <v>1893</v>
      </c>
      <c r="F484" s="46" t="s">
        <v>561</v>
      </c>
    </row>
    <row r="485" spans="1:6" ht="96">
      <c r="A485" s="47">
        <v>70612</v>
      </c>
      <c r="B485" s="46" t="s">
        <v>562</v>
      </c>
      <c r="C485" s="46" t="s">
        <v>1894</v>
      </c>
      <c r="D485" s="47" t="s">
        <v>6</v>
      </c>
      <c r="E485" s="46" t="s">
        <v>1895</v>
      </c>
      <c r="F485" s="46" t="s">
        <v>1896</v>
      </c>
    </row>
    <row r="486" spans="1:6" ht="120">
      <c r="A486" s="47">
        <v>83186</v>
      </c>
      <c r="B486" s="46" t="s">
        <v>1897</v>
      </c>
      <c r="C486" s="46" t="s">
        <v>563</v>
      </c>
      <c r="D486" s="47" t="s">
        <v>728</v>
      </c>
      <c r="E486" s="46" t="s">
        <v>1898</v>
      </c>
      <c r="F486" s="46" t="s">
        <v>1899</v>
      </c>
    </row>
    <row r="487" spans="1:6" ht="72">
      <c r="A487" s="47">
        <v>10073</v>
      </c>
      <c r="B487" s="46" t="s">
        <v>1900</v>
      </c>
      <c r="C487" s="46" t="s">
        <v>1901</v>
      </c>
      <c r="D487" s="47" t="s">
        <v>728</v>
      </c>
      <c r="E487" s="46" t="s">
        <v>1902</v>
      </c>
      <c r="F487" s="46" t="s">
        <v>1903</v>
      </c>
    </row>
    <row r="488" spans="1:6" ht="36">
      <c r="A488" s="47">
        <v>83526</v>
      </c>
      <c r="B488" s="46" t="s">
        <v>1904</v>
      </c>
      <c r="C488" s="46" t="s">
        <v>1905</v>
      </c>
      <c r="D488" s="47" t="s">
        <v>728</v>
      </c>
      <c r="E488" s="9" t="s">
        <v>1906</v>
      </c>
      <c r="F488" s="9" t="s">
        <v>1907</v>
      </c>
    </row>
    <row r="489" spans="1:6" ht="96">
      <c r="A489" s="47">
        <v>58119</v>
      </c>
      <c r="B489" s="46" t="s">
        <v>1908</v>
      </c>
      <c r="C489" s="46" t="s">
        <v>1909</v>
      </c>
      <c r="D489" s="47" t="s">
        <v>14</v>
      </c>
      <c r="E489" s="46" t="s">
        <v>1910</v>
      </c>
      <c r="F489" s="46" t="s">
        <v>1911</v>
      </c>
    </row>
    <row r="490" spans="1:6" ht="84">
      <c r="A490" s="47">
        <v>11638</v>
      </c>
      <c r="B490" s="46" t="s">
        <v>1912</v>
      </c>
      <c r="C490" s="46" t="s">
        <v>1913</v>
      </c>
      <c r="D490" s="47" t="s">
        <v>669</v>
      </c>
      <c r="E490" s="46" t="s">
        <v>1914</v>
      </c>
      <c r="F490" s="46" t="s">
        <v>1915</v>
      </c>
    </row>
    <row r="491" spans="1:6" ht="108">
      <c r="A491" s="47">
        <v>38199</v>
      </c>
      <c r="B491" s="46" t="s">
        <v>1916</v>
      </c>
      <c r="C491" s="46" t="s">
        <v>1917</v>
      </c>
      <c r="D491" s="47" t="s">
        <v>728</v>
      </c>
      <c r="E491" s="46" t="s">
        <v>1918</v>
      </c>
      <c r="F491" s="9" t="s">
        <v>1919</v>
      </c>
    </row>
    <row r="492" spans="1:6" ht="60">
      <c r="A492" s="47">
        <v>47715</v>
      </c>
      <c r="B492" s="46" t="s">
        <v>644</v>
      </c>
      <c r="C492" s="46" t="s">
        <v>1920</v>
      </c>
      <c r="D492" s="47" t="s">
        <v>728</v>
      </c>
      <c r="E492" s="46" t="s">
        <v>1921</v>
      </c>
      <c r="F492" s="46" t="s">
        <v>1922</v>
      </c>
    </row>
    <row r="493" spans="1:6" ht="36">
      <c r="A493" s="47">
        <v>84729</v>
      </c>
      <c r="B493" s="46" t="s">
        <v>1923</v>
      </c>
      <c r="C493" s="46" t="s">
        <v>1924</v>
      </c>
      <c r="D493" s="47" t="s">
        <v>692</v>
      </c>
      <c r="E493" s="46" t="s">
        <v>1925</v>
      </c>
      <c r="F493" s="46" t="s">
        <v>1926</v>
      </c>
    </row>
    <row r="494" spans="1:6" ht="48">
      <c r="A494" s="47">
        <v>10087</v>
      </c>
      <c r="B494" s="46" t="s">
        <v>1927</v>
      </c>
      <c r="C494" s="46" t="s">
        <v>1928</v>
      </c>
      <c r="D494" s="47" t="s">
        <v>12</v>
      </c>
      <c r="E494" s="46" t="s">
        <v>1929</v>
      </c>
      <c r="F494" s="46" t="s">
        <v>1930</v>
      </c>
    </row>
    <row r="495" spans="1:6" ht="72">
      <c r="A495" s="47">
        <v>48298</v>
      </c>
      <c r="B495" s="46" t="s">
        <v>1931</v>
      </c>
      <c r="C495" s="46" t="s">
        <v>1932</v>
      </c>
      <c r="D495" s="47" t="s">
        <v>14</v>
      </c>
      <c r="E495" s="46" t="s">
        <v>1933</v>
      </c>
      <c r="F495" s="46" t="s">
        <v>1934</v>
      </c>
    </row>
    <row r="496" spans="1:6" ht="84">
      <c r="A496" s="47">
        <v>50562</v>
      </c>
      <c r="B496" s="46" t="s">
        <v>1935</v>
      </c>
      <c r="C496" s="46" t="s">
        <v>1936</v>
      </c>
      <c r="D496" s="47" t="s">
        <v>14</v>
      </c>
      <c r="E496" s="46" t="s">
        <v>1937</v>
      </c>
      <c r="F496" s="46" t="s">
        <v>1938</v>
      </c>
    </row>
    <row r="497" spans="1:6" ht="60">
      <c r="A497" s="47">
        <v>53895</v>
      </c>
      <c r="B497" s="46" t="s">
        <v>1939</v>
      </c>
      <c r="C497" s="46" t="s">
        <v>1940</v>
      </c>
      <c r="D497" s="47" t="s">
        <v>14</v>
      </c>
      <c r="E497" s="46" t="s">
        <v>1941</v>
      </c>
      <c r="F497" s="46" t="s">
        <v>1942</v>
      </c>
    </row>
    <row r="498" spans="1:6" ht="72">
      <c r="A498" s="47">
        <v>55811</v>
      </c>
      <c r="B498" s="46" t="s">
        <v>645</v>
      </c>
      <c r="C498" s="46" t="s">
        <v>1943</v>
      </c>
      <c r="D498" s="47" t="s">
        <v>13</v>
      </c>
      <c r="E498" s="46" t="s">
        <v>1944</v>
      </c>
      <c r="F498" s="46" t="s">
        <v>1945</v>
      </c>
    </row>
    <row r="499" spans="1:6" ht="60">
      <c r="A499" s="47">
        <v>55814</v>
      </c>
      <c r="B499" s="46" t="s">
        <v>646</v>
      </c>
      <c r="C499" s="46" t="s">
        <v>1946</v>
      </c>
      <c r="D499" s="47" t="s">
        <v>14</v>
      </c>
      <c r="E499" s="46" t="s">
        <v>1947</v>
      </c>
      <c r="F499" s="46" t="s">
        <v>1948</v>
      </c>
    </row>
    <row r="500" spans="1:6" ht="60">
      <c r="A500" s="47">
        <v>43390</v>
      </c>
      <c r="B500" s="46" t="s">
        <v>1949</v>
      </c>
      <c r="C500" s="46" t="s">
        <v>1950</v>
      </c>
      <c r="D500" s="47" t="s">
        <v>14</v>
      </c>
      <c r="E500" s="46" t="s">
        <v>1951</v>
      </c>
      <c r="F500" s="46" t="s">
        <v>1952</v>
      </c>
    </row>
    <row r="501" spans="1:6" ht="48">
      <c r="A501" s="47">
        <v>55992</v>
      </c>
      <c r="B501" s="46" t="s">
        <v>1953</v>
      </c>
      <c r="C501" s="46" t="s">
        <v>1954</v>
      </c>
      <c r="D501" s="47" t="s">
        <v>692</v>
      </c>
      <c r="E501" s="46" t="s">
        <v>1955</v>
      </c>
      <c r="F501" s="46" t="s">
        <v>1956</v>
      </c>
    </row>
    <row r="502" spans="1:6" ht="60">
      <c r="A502" s="47">
        <v>73639</v>
      </c>
      <c r="B502" s="46" t="s">
        <v>1957</v>
      </c>
      <c r="C502" s="46" t="s">
        <v>1958</v>
      </c>
      <c r="D502" s="47" t="s">
        <v>669</v>
      </c>
      <c r="E502" s="46" t="s">
        <v>1959</v>
      </c>
      <c r="F502" s="46" t="s">
        <v>1960</v>
      </c>
    </row>
    <row r="503" spans="1:6" ht="48">
      <c r="A503" s="47">
        <v>39590</v>
      </c>
      <c r="B503" s="46" t="s">
        <v>647</v>
      </c>
      <c r="C503" s="46" t="s">
        <v>1961</v>
      </c>
      <c r="D503" s="47" t="s">
        <v>728</v>
      </c>
      <c r="E503" s="46" t="s">
        <v>1962</v>
      </c>
      <c r="F503" s="46" t="s">
        <v>1963</v>
      </c>
    </row>
    <row r="504" spans="1:6" ht="36">
      <c r="A504" s="47">
        <v>84923</v>
      </c>
      <c r="B504" s="40" t="s">
        <v>1964</v>
      </c>
      <c r="C504" s="46" t="s">
        <v>1965</v>
      </c>
      <c r="D504" s="47" t="s">
        <v>13</v>
      </c>
      <c r="E504" s="46" t="s">
        <v>1966</v>
      </c>
      <c r="F504" s="46" t="s">
        <v>1967</v>
      </c>
    </row>
    <row r="505" spans="1:6" ht="48">
      <c r="A505" s="47">
        <v>85181</v>
      </c>
      <c r="B505" s="40" t="s">
        <v>648</v>
      </c>
      <c r="C505" s="46" t="s">
        <v>1968</v>
      </c>
      <c r="D505" s="47" t="s">
        <v>692</v>
      </c>
      <c r="E505" s="46" t="s">
        <v>1969</v>
      </c>
      <c r="F505" s="46" t="s">
        <v>1970</v>
      </c>
    </row>
    <row r="506" spans="1:6" ht="36">
      <c r="A506" s="47">
        <v>81494</v>
      </c>
      <c r="B506" s="46" t="s">
        <v>649</v>
      </c>
      <c r="C506" s="46" t="s">
        <v>1971</v>
      </c>
      <c r="D506" s="47" t="s">
        <v>692</v>
      </c>
      <c r="E506" s="46" t="s">
        <v>1972</v>
      </c>
      <c r="F506" s="46" t="s">
        <v>1973</v>
      </c>
    </row>
    <row r="507" spans="1:6" ht="36">
      <c r="A507" s="47">
        <v>78604</v>
      </c>
      <c r="B507" s="40" t="s">
        <v>1974</v>
      </c>
      <c r="C507" s="46" t="s">
        <v>1975</v>
      </c>
      <c r="D507" s="47" t="s">
        <v>728</v>
      </c>
      <c r="E507" s="46" t="s">
        <v>1976</v>
      </c>
      <c r="F507" s="46" t="s">
        <v>1977</v>
      </c>
    </row>
    <row r="508" spans="1:6" ht="48">
      <c r="A508" s="47">
        <v>81825</v>
      </c>
      <c r="B508" s="40" t="s">
        <v>1978</v>
      </c>
      <c r="C508" s="46" t="s">
        <v>1979</v>
      </c>
      <c r="D508" s="47" t="s">
        <v>728</v>
      </c>
      <c r="E508" s="46" t="s">
        <v>1980</v>
      </c>
      <c r="F508" s="46" t="s">
        <v>1981</v>
      </c>
    </row>
    <row r="509" spans="1:6" ht="96">
      <c r="A509" s="47">
        <v>86255</v>
      </c>
      <c r="B509" s="46" t="s">
        <v>1982</v>
      </c>
      <c r="C509" s="46" t="s">
        <v>1983</v>
      </c>
      <c r="D509" s="47" t="s">
        <v>14</v>
      </c>
      <c r="E509" s="46" t="s">
        <v>1984</v>
      </c>
      <c r="F509" s="46" t="s">
        <v>1985</v>
      </c>
    </row>
    <row r="510" spans="1:6" ht="60">
      <c r="A510" s="47">
        <v>86124</v>
      </c>
      <c r="B510" s="46" t="s">
        <v>1986</v>
      </c>
      <c r="C510" s="46" t="s">
        <v>1987</v>
      </c>
      <c r="D510" s="47" t="s">
        <v>728</v>
      </c>
      <c r="E510" s="46" t="s">
        <v>1988</v>
      </c>
      <c r="F510" s="46" t="s">
        <v>1989</v>
      </c>
    </row>
    <row r="511" spans="1:6" ht="48">
      <c r="A511" s="47">
        <v>52609</v>
      </c>
      <c r="B511" s="46" t="s">
        <v>1990</v>
      </c>
      <c r="C511" s="46" t="s">
        <v>1991</v>
      </c>
      <c r="D511" s="47" t="s">
        <v>12</v>
      </c>
      <c r="E511" s="46" t="s">
        <v>1992</v>
      </c>
      <c r="F511" s="46" t="s">
        <v>1993</v>
      </c>
    </row>
    <row r="512" spans="1:6" ht="144">
      <c r="A512" s="47">
        <v>15767</v>
      </c>
      <c r="B512" s="46" t="s">
        <v>1994</v>
      </c>
      <c r="C512" s="46" t="s">
        <v>1995</v>
      </c>
      <c r="D512" s="47" t="s">
        <v>12</v>
      </c>
      <c r="E512" s="46" t="s">
        <v>1996</v>
      </c>
      <c r="F512" s="46" t="s">
        <v>1997</v>
      </c>
    </row>
    <row r="513" spans="1:6" ht="60">
      <c r="A513" s="47">
        <v>44589</v>
      </c>
      <c r="B513" s="46" t="s">
        <v>1998</v>
      </c>
      <c r="C513" s="46" t="s">
        <v>1999</v>
      </c>
      <c r="D513" s="47" t="s">
        <v>14</v>
      </c>
      <c r="E513" s="46" t="s">
        <v>2000</v>
      </c>
      <c r="F513" s="46" t="s">
        <v>2001</v>
      </c>
    </row>
    <row r="514" spans="1:6" ht="48">
      <c r="A514" s="47">
        <v>32315</v>
      </c>
      <c r="B514" s="46" t="s">
        <v>650</v>
      </c>
      <c r="C514" s="46" t="s">
        <v>2002</v>
      </c>
      <c r="D514" s="47" t="s">
        <v>13</v>
      </c>
      <c r="E514" s="46" t="s">
        <v>2003</v>
      </c>
      <c r="F514" s="46" t="s">
        <v>2004</v>
      </c>
    </row>
    <row r="515" spans="1:6" ht="108">
      <c r="A515" s="47">
        <v>10491</v>
      </c>
      <c r="B515" s="46" t="s">
        <v>651</v>
      </c>
      <c r="C515" s="46" t="s">
        <v>2005</v>
      </c>
      <c r="D515" s="47" t="s">
        <v>12</v>
      </c>
      <c r="E515" s="46" t="s">
        <v>2006</v>
      </c>
      <c r="F515" s="46" t="s">
        <v>2007</v>
      </c>
    </row>
    <row r="516" spans="1:6" ht="24">
      <c r="A516" s="47">
        <v>50659</v>
      </c>
      <c r="B516" s="46" t="s">
        <v>652</v>
      </c>
      <c r="C516" s="46" t="s">
        <v>2008</v>
      </c>
      <c r="D516" s="47" t="s">
        <v>12</v>
      </c>
      <c r="E516" s="46" t="s">
        <v>2009</v>
      </c>
      <c r="F516" s="46" t="s">
        <v>2010</v>
      </c>
    </row>
    <row r="517" spans="1:6" ht="24">
      <c r="A517" s="47">
        <v>57272</v>
      </c>
      <c r="B517" s="46" t="s">
        <v>2011</v>
      </c>
      <c r="C517" s="46" t="s">
        <v>2012</v>
      </c>
      <c r="D517" s="47" t="s">
        <v>12</v>
      </c>
      <c r="E517" s="46" t="s">
        <v>2013</v>
      </c>
      <c r="F517" s="46" t="s">
        <v>2014</v>
      </c>
    </row>
    <row r="518" spans="1:6" ht="72">
      <c r="A518" s="47">
        <v>80332</v>
      </c>
      <c r="B518" s="46" t="s">
        <v>2015</v>
      </c>
      <c r="C518" s="46" t="s">
        <v>2016</v>
      </c>
      <c r="D518" s="47" t="s">
        <v>13</v>
      </c>
      <c r="E518" s="46" t="s">
        <v>2017</v>
      </c>
      <c r="F518" s="46" t="s">
        <v>2018</v>
      </c>
    </row>
    <row r="519" spans="1:6" ht="72">
      <c r="A519" s="47">
        <v>81082</v>
      </c>
      <c r="B519" s="46" t="s">
        <v>2019</v>
      </c>
      <c r="C519" s="46" t="s">
        <v>2020</v>
      </c>
      <c r="D519" s="47" t="s">
        <v>13</v>
      </c>
      <c r="E519" s="46" t="s">
        <v>2017</v>
      </c>
      <c r="F519" s="46" t="s">
        <v>2021</v>
      </c>
    </row>
    <row r="520" spans="1:6" ht="60">
      <c r="A520" s="47">
        <v>81512</v>
      </c>
      <c r="B520" s="46" t="s">
        <v>2022</v>
      </c>
      <c r="C520" s="46" t="s">
        <v>2023</v>
      </c>
      <c r="D520" s="47" t="s">
        <v>13</v>
      </c>
      <c r="E520" s="46" t="s">
        <v>2024</v>
      </c>
      <c r="F520" s="46" t="s">
        <v>2025</v>
      </c>
    </row>
    <row r="521" spans="1:6" ht="72">
      <c r="A521" s="47">
        <v>82027</v>
      </c>
      <c r="B521" s="46" t="s">
        <v>2026</v>
      </c>
      <c r="C521" s="46" t="s">
        <v>2027</v>
      </c>
      <c r="D521" s="47" t="s">
        <v>13</v>
      </c>
      <c r="E521" s="46" t="s">
        <v>2028</v>
      </c>
      <c r="F521" s="46" t="s">
        <v>2018</v>
      </c>
    </row>
    <row r="522" spans="1:6" ht="48">
      <c r="A522" s="47">
        <v>83035</v>
      </c>
      <c r="B522" s="46" t="s">
        <v>2029</v>
      </c>
      <c r="C522" s="46" t="s">
        <v>2030</v>
      </c>
      <c r="D522" s="47" t="s">
        <v>13</v>
      </c>
      <c r="E522" s="46" t="s">
        <v>2031</v>
      </c>
      <c r="F522" s="46" t="s">
        <v>2032</v>
      </c>
    </row>
    <row r="523" spans="1:6" ht="48">
      <c r="A523" s="47">
        <v>83519</v>
      </c>
      <c r="B523" s="46" t="s">
        <v>2033</v>
      </c>
      <c r="C523" s="46" t="s">
        <v>2034</v>
      </c>
      <c r="D523" s="47" t="s">
        <v>13</v>
      </c>
      <c r="E523" s="46" t="s">
        <v>2035</v>
      </c>
      <c r="F523" s="46" t="s">
        <v>2036</v>
      </c>
    </row>
    <row r="524" spans="1:6" ht="36">
      <c r="A524" s="47">
        <v>84364</v>
      </c>
      <c r="B524" s="46" t="s">
        <v>2037</v>
      </c>
      <c r="C524" s="46" t="s">
        <v>2038</v>
      </c>
      <c r="D524" s="47" t="s">
        <v>13</v>
      </c>
      <c r="E524" s="46" t="s">
        <v>2039</v>
      </c>
      <c r="F524" s="46" t="s">
        <v>2036</v>
      </c>
    </row>
    <row r="525" spans="1:6" ht="36">
      <c r="A525" s="47">
        <v>84673</v>
      </c>
      <c r="B525" s="46" t="s">
        <v>2040</v>
      </c>
      <c r="C525" s="46" t="s">
        <v>2041</v>
      </c>
      <c r="D525" s="47" t="s">
        <v>12</v>
      </c>
      <c r="E525" s="46" t="s">
        <v>2042</v>
      </c>
      <c r="F525" s="46" t="s">
        <v>2036</v>
      </c>
    </row>
    <row r="526" spans="1:6" ht="72">
      <c r="A526" s="47">
        <v>84959</v>
      </c>
      <c r="B526" s="46" t="s">
        <v>2043</v>
      </c>
      <c r="C526" s="46" t="s">
        <v>2044</v>
      </c>
      <c r="D526" s="47" t="s">
        <v>12</v>
      </c>
      <c r="E526" s="46" t="s">
        <v>2045</v>
      </c>
      <c r="F526" s="46" t="s">
        <v>2046</v>
      </c>
    </row>
    <row r="527" spans="1:6" ht="84">
      <c r="A527" s="47">
        <v>85300</v>
      </c>
      <c r="B527" s="46" t="s">
        <v>2047</v>
      </c>
      <c r="C527" s="46" t="s">
        <v>2048</v>
      </c>
      <c r="D527" s="47" t="s">
        <v>13</v>
      </c>
      <c r="E527" s="46" t="s">
        <v>2049</v>
      </c>
      <c r="F527" s="46" t="s">
        <v>2050</v>
      </c>
    </row>
    <row r="528" spans="1:6" ht="36">
      <c r="A528" s="47">
        <v>85887</v>
      </c>
      <c r="B528" s="46" t="s">
        <v>2051</v>
      </c>
      <c r="C528" s="46" t="s">
        <v>2052</v>
      </c>
      <c r="D528" s="47" t="s">
        <v>14</v>
      </c>
      <c r="E528" s="46" t="s">
        <v>2053</v>
      </c>
      <c r="F528" s="46" t="s">
        <v>2054</v>
      </c>
    </row>
    <row r="529" spans="1:10" ht="48">
      <c r="A529" s="47">
        <v>86301</v>
      </c>
      <c r="B529" s="46" t="s">
        <v>2055</v>
      </c>
      <c r="C529" s="46" t="s">
        <v>2056</v>
      </c>
      <c r="D529" s="47" t="s">
        <v>13</v>
      </c>
      <c r="E529" s="46" t="s">
        <v>2057</v>
      </c>
      <c r="F529" s="46" t="s">
        <v>2058</v>
      </c>
    </row>
    <row r="530" spans="1:10" ht="60">
      <c r="A530" s="47">
        <v>79248</v>
      </c>
      <c r="B530" s="46" t="s">
        <v>2059</v>
      </c>
      <c r="C530" s="46" t="s">
        <v>2060</v>
      </c>
      <c r="D530" s="47" t="s">
        <v>13</v>
      </c>
      <c r="E530" s="46" t="s">
        <v>2061</v>
      </c>
      <c r="F530" s="46" t="s">
        <v>2062</v>
      </c>
    </row>
    <row r="531" spans="1:10" ht="24">
      <c r="A531" s="47">
        <v>50686</v>
      </c>
      <c r="B531" s="46" t="s">
        <v>2063</v>
      </c>
      <c r="C531" s="46" t="s">
        <v>2064</v>
      </c>
      <c r="D531" s="47" t="s">
        <v>12</v>
      </c>
      <c r="E531" s="46" t="s">
        <v>2065</v>
      </c>
      <c r="F531" s="46" t="s">
        <v>2066</v>
      </c>
    </row>
    <row r="532" spans="1:10" ht="144">
      <c r="A532" s="47">
        <v>85382</v>
      </c>
      <c r="B532" s="46" t="s">
        <v>2067</v>
      </c>
      <c r="C532" s="46" t="s">
        <v>2068</v>
      </c>
      <c r="D532" s="47" t="s">
        <v>14</v>
      </c>
      <c r="E532" s="46" t="s">
        <v>2069</v>
      </c>
      <c r="F532" s="46" t="s">
        <v>2070</v>
      </c>
    </row>
    <row r="533" spans="1:10" ht="84">
      <c r="A533" s="47">
        <v>83993</v>
      </c>
      <c r="B533" s="46" t="s">
        <v>2071</v>
      </c>
      <c r="C533" s="46" t="s">
        <v>2072</v>
      </c>
      <c r="D533" s="47" t="s">
        <v>14</v>
      </c>
      <c r="E533" s="46" t="s">
        <v>2073</v>
      </c>
      <c r="F533" s="46" t="s">
        <v>2074</v>
      </c>
    </row>
    <row r="534" spans="1:10" ht="24">
      <c r="A534" s="47">
        <v>19948</v>
      </c>
      <c r="B534" s="46" t="s">
        <v>2075</v>
      </c>
      <c r="C534" s="46" t="s">
        <v>2076</v>
      </c>
      <c r="D534" s="47" t="s">
        <v>14</v>
      </c>
      <c r="E534" s="46" t="s">
        <v>2077</v>
      </c>
      <c r="F534" s="46" t="s">
        <v>2078</v>
      </c>
    </row>
    <row r="535" spans="1:10" ht="24">
      <c r="A535" s="47">
        <v>66349</v>
      </c>
      <c r="B535" s="46" t="s">
        <v>2079</v>
      </c>
      <c r="C535" s="46" t="s">
        <v>2080</v>
      </c>
      <c r="D535" s="47" t="s">
        <v>14</v>
      </c>
      <c r="E535" s="46" t="s">
        <v>2081</v>
      </c>
      <c r="F535" s="46" t="s">
        <v>2082</v>
      </c>
    </row>
    <row r="536" spans="1:10" ht="72">
      <c r="A536" s="47">
        <v>69424</v>
      </c>
      <c r="B536" s="46" t="s">
        <v>2083</v>
      </c>
      <c r="C536" s="46" t="s">
        <v>2084</v>
      </c>
      <c r="D536" s="47" t="s">
        <v>13</v>
      </c>
      <c r="E536" s="46" t="s">
        <v>2085</v>
      </c>
      <c r="F536" s="46" t="s">
        <v>2086</v>
      </c>
    </row>
    <row r="537" spans="1:10" ht="132">
      <c r="A537" s="47">
        <v>83781</v>
      </c>
      <c r="B537" s="46" t="s">
        <v>2087</v>
      </c>
      <c r="C537" s="46" t="s">
        <v>2088</v>
      </c>
      <c r="D537" s="47" t="s">
        <v>12</v>
      </c>
      <c r="E537" s="46" t="s">
        <v>2089</v>
      </c>
      <c r="F537" s="46" t="s">
        <v>2090</v>
      </c>
      <c r="G537" s="46"/>
      <c r="H537" s="46"/>
      <c r="I537" s="46"/>
      <c r="J537" s="46"/>
    </row>
    <row r="538" spans="1:10" ht="48">
      <c r="A538" s="47">
        <v>11467</v>
      </c>
      <c r="B538" s="46" t="s">
        <v>2091</v>
      </c>
      <c r="C538" s="46" t="s">
        <v>2092</v>
      </c>
      <c r="D538" s="47" t="s">
        <v>12</v>
      </c>
      <c r="E538" s="46" t="s">
        <v>2093</v>
      </c>
      <c r="F538" s="46" t="s">
        <v>2094</v>
      </c>
    </row>
    <row r="539" spans="1:10" ht="36">
      <c r="A539" s="47">
        <v>33822</v>
      </c>
      <c r="B539" s="46" t="s">
        <v>2095</v>
      </c>
      <c r="C539" s="46" t="s">
        <v>2096</v>
      </c>
      <c r="D539" s="47" t="s">
        <v>13</v>
      </c>
      <c r="E539" s="46" t="s">
        <v>2097</v>
      </c>
      <c r="F539" s="46" t="s">
        <v>2098</v>
      </c>
    </row>
    <row r="540" spans="1:10" s="46" customFormat="1" ht="72">
      <c r="A540" s="47">
        <v>74496</v>
      </c>
      <c r="B540" s="46" t="s">
        <v>2099</v>
      </c>
      <c r="C540" s="46" t="s">
        <v>2420</v>
      </c>
      <c r="D540" s="47" t="s">
        <v>13</v>
      </c>
      <c r="E540" s="46" t="s">
        <v>2100</v>
      </c>
      <c r="F540" s="46" t="s">
        <v>2101</v>
      </c>
    </row>
    <row r="541" spans="1:10" ht="60">
      <c r="A541" s="47">
        <v>10736</v>
      </c>
      <c r="B541" s="46" t="s">
        <v>2102</v>
      </c>
      <c r="C541" s="46" t="s">
        <v>2103</v>
      </c>
      <c r="D541" s="47" t="s">
        <v>12</v>
      </c>
      <c r="E541" s="46" t="s">
        <v>2104</v>
      </c>
      <c r="F541" s="46" t="s">
        <v>2105</v>
      </c>
    </row>
    <row r="542" spans="1:10" ht="53.25" customHeight="1">
      <c r="A542" s="47">
        <v>89058</v>
      </c>
      <c r="B542" s="46" t="s">
        <v>2106</v>
      </c>
      <c r="C542" s="46" t="s">
        <v>2107</v>
      </c>
      <c r="D542" s="47" t="s">
        <v>2108</v>
      </c>
      <c r="E542" s="46" t="s">
        <v>2109</v>
      </c>
      <c r="F542" s="46" t="s">
        <v>2421</v>
      </c>
    </row>
    <row r="543" spans="1:10" ht="24">
      <c r="A543" s="11">
        <v>17154</v>
      </c>
      <c r="B543" s="46" t="s">
        <v>2110</v>
      </c>
      <c r="C543" s="46" t="s">
        <v>2111</v>
      </c>
      <c r="D543" s="47" t="s">
        <v>12</v>
      </c>
      <c r="E543" s="46" t="s">
        <v>2423</v>
      </c>
      <c r="F543" s="46" t="s">
        <v>2422</v>
      </c>
    </row>
    <row r="544" spans="1:10" ht="48">
      <c r="A544" s="11">
        <v>81777</v>
      </c>
      <c r="B544" s="46" t="s">
        <v>2112</v>
      </c>
      <c r="C544" s="46" t="s">
        <v>2113</v>
      </c>
      <c r="D544" s="47" t="s">
        <v>12</v>
      </c>
      <c r="E544" s="46" t="s">
        <v>2114</v>
      </c>
      <c r="F544" s="46" t="s">
        <v>2115</v>
      </c>
    </row>
    <row r="545" spans="1:6" ht="36">
      <c r="A545" s="11">
        <v>10907</v>
      </c>
      <c r="B545" s="46" t="s">
        <v>2116</v>
      </c>
      <c r="C545" s="46" t="s">
        <v>2424</v>
      </c>
      <c r="D545" s="47" t="s">
        <v>13</v>
      </c>
      <c r="E545" s="46" t="s">
        <v>2425</v>
      </c>
      <c r="F545" s="46" t="s">
        <v>2426</v>
      </c>
    </row>
    <row r="546" spans="1:6" ht="24">
      <c r="A546" s="11">
        <v>12225</v>
      </c>
      <c r="B546" s="46" t="s">
        <v>2117</v>
      </c>
      <c r="C546" s="46" t="s">
        <v>2118</v>
      </c>
      <c r="D546" s="47" t="s">
        <v>12</v>
      </c>
      <c r="E546" s="46" t="s">
        <v>2427</v>
      </c>
      <c r="F546" s="46" t="s">
        <v>2119</v>
      </c>
    </row>
    <row r="547" spans="1:6" ht="84">
      <c r="A547" s="11">
        <v>11535</v>
      </c>
      <c r="B547" s="46" t="s">
        <v>2120</v>
      </c>
      <c r="C547" s="46" t="s">
        <v>2121</v>
      </c>
      <c r="D547" s="47" t="s">
        <v>12</v>
      </c>
      <c r="E547" s="46" t="s">
        <v>2122</v>
      </c>
      <c r="F547" s="46" t="s">
        <v>2123</v>
      </c>
    </row>
    <row r="548" spans="1:6" ht="132">
      <c r="A548" s="11">
        <v>12037</v>
      </c>
      <c r="B548" s="46" t="s">
        <v>2124</v>
      </c>
      <c r="C548" s="46" t="s">
        <v>2125</v>
      </c>
      <c r="D548" s="47" t="s">
        <v>13</v>
      </c>
      <c r="E548" s="46" t="s">
        <v>2126</v>
      </c>
      <c r="F548" s="46" t="s">
        <v>2434</v>
      </c>
    </row>
    <row r="549" spans="1:6" ht="144">
      <c r="A549" s="11">
        <v>12080</v>
      </c>
      <c r="B549" s="46" t="s">
        <v>2127</v>
      </c>
      <c r="C549" s="46" t="s">
        <v>2128</v>
      </c>
      <c r="D549" s="47" t="s">
        <v>13</v>
      </c>
      <c r="E549" s="46" t="s">
        <v>2129</v>
      </c>
      <c r="F549" s="46" t="s">
        <v>2433</v>
      </c>
    </row>
    <row r="550" spans="1:6" ht="36">
      <c r="A550" s="11">
        <v>81420</v>
      </c>
      <c r="B550" s="46" t="s">
        <v>2428</v>
      </c>
      <c r="C550" s="46" t="s">
        <v>2429</v>
      </c>
      <c r="D550" s="47" t="s">
        <v>13</v>
      </c>
      <c r="E550" s="46" t="s">
        <v>2130</v>
      </c>
      <c r="F550" s="46" t="s">
        <v>2131</v>
      </c>
    </row>
    <row r="551" spans="1:6" ht="84">
      <c r="A551" s="11">
        <v>81482</v>
      </c>
      <c r="B551" s="46" t="s">
        <v>2132</v>
      </c>
      <c r="C551" s="46" t="s">
        <v>2133</v>
      </c>
      <c r="D551" s="47" t="s">
        <v>12</v>
      </c>
      <c r="E551" s="46" t="s">
        <v>2430</v>
      </c>
      <c r="F551" s="46" t="s">
        <v>2431</v>
      </c>
    </row>
    <row r="552" spans="1:6" ht="48">
      <c r="A552" s="11">
        <v>81484</v>
      </c>
      <c r="B552" s="46" t="s">
        <v>2134</v>
      </c>
      <c r="C552" s="46" t="s">
        <v>2135</v>
      </c>
      <c r="D552" s="47" t="s">
        <v>13</v>
      </c>
      <c r="E552" s="46" t="s">
        <v>2136</v>
      </c>
      <c r="F552" s="46" t="s">
        <v>2137</v>
      </c>
    </row>
    <row r="553" spans="1:6" ht="120">
      <c r="A553" s="11">
        <v>81509</v>
      </c>
      <c r="B553" s="46" t="s">
        <v>2138</v>
      </c>
      <c r="C553" s="46" t="s">
        <v>2139</v>
      </c>
      <c r="D553" s="47" t="s">
        <v>13</v>
      </c>
      <c r="E553" s="46" t="s">
        <v>2140</v>
      </c>
      <c r="F553" s="46" t="s">
        <v>2432</v>
      </c>
    </row>
    <row r="554" spans="1:6" ht="96">
      <c r="A554" s="11">
        <v>81544</v>
      </c>
      <c r="B554" s="46" t="s">
        <v>2141</v>
      </c>
      <c r="C554" s="46" t="s">
        <v>2435</v>
      </c>
      <c r="D554" s="47" t="s">
        <v>13</v>
      </c>
      <c r="E554" s="46" t="s">
        <v>2143</v>
      </c>
      <c r="F554" s="46" t="s">
        <v>2436</v>
      </c>
    </row>
    <row r="555" spans="1:6" ht="96">
      <c r="A555" s="11">
        <v>81572</v>
      </c>
      <c r="B555" s="46" t="s">
        <v>2145</v>
      </c>
      <c r="C555" s="46" t="s">
        <v>2146</v>
      </c>
      <c r="D555" s="47" t="s">
        <v>13</v>
      </c>
      <c r="E555" s="46" t="s">
        <v>2147</v>
      </c>
      <c r="F555" s="46" t="s">
        <v>2437</v>
      </c>
    </row>
    <row r="556" spans="1:6" ht="120">
      <c r="A556" s="11">
        <v>81573</v>
      </c>
      <c r="B556" s="46" t="s">
        <v>2148</v>
      </c>
      <c r="C556" s="46" t="s">
        <v>2149</v>
      </c>
      <c r="D556" s="47" t="s">
        <v>12</v>
      </c>
      <c r="E556" s="46" t="s">
        <v>2150</v>
      </c>
      <c r="F556" s="46" t="s">
        <v>2438</v>
      </c>
    </row>
    <row r="557" spans="1:6" ht="84">
      <c r="A557" s="11">
        <v>81590</v>
      </c>
      <c r="B557" s="46" t="s">
        <v>2151</v>
      </c>
      <c r="C557" s="46" t="s">
        <v>2152</v>
      </c>
      <c r="D557" s="47" t="s">
        <v>13</v>
      </c>
      <c r="E557" s="46" t="s">
        <v>2153</v>
      </c>
      <c r="F557" s="46" t="s">
        <v>2154</v>
      </c>
    </row>
    <row r="558" spans="1:6" ht="156">
      <c r="A558" s="11">
        <v>81644</v>
      </c>
      <c r="B558" s="46" t="s">
        <v>2155</v>
      </c>
      <c r="C558" s="46" t="s">
        <v>2156</v>
      </c>
      <c r="D558" s="47" t="s">
        <v>13</v>
      </c>
      <c r="E558" s="46" t="s">
        <v>2157</v>
      </c>
      <c r="F558" s="46" t="s">
        <v>2158</v>
      </c>
    </row>
    <row r="559" spans="1:6" ht="240">
      <c r="A559" s="11">
        <v>81668</v>
      </c>
      <c r="B559" s="46" t="s">
        <v>2159</v>
      </c>
      <c r="C559" s="46" t="s">
        <v>2160</v>
      </c>
      <c r="D559" s="47" t="s">
        <v>14</v>
      </c>
      <c r="E559" s="46" t="s">
        <v>2161</v>
      </c>
      <c r="F559" s="46" t="s">
        <v>2162</v>
      </c>
    </row>
    <row r="560" spans="1:6" ht="96">
      <c r="A560" s="11">
        <v>81729</v>
      </c>
      <c r="B560" s="46" t="s">
        <v>2163</v>
      </c>
      <c r="C560" s="46" t="s">
        <v>2142</v>
      </c>
      <c r="D560" s="47" t="s">
        <v>13</v>
      </c>
      <c r="E560" s="46" t="s">
        <v>2143</v>
      </c>
      <c r="F560" s="46" t="s">
        <v>2144</v>
      </c>
    </row>
    <row r="561" spans="1:6" ht="108">
      <c r="A561" s="11">
        <v>81753</v>
      </c>
      <c r="B561" s="46" t="s">
        <v>2164</v>
      </c>
      <c r="C561" s="46" t="s">
        <v>2165</v>
      </c>
      <c r="D561" s="47" t="s">
        <v>13</v>
      </c>
      <c r="E561" s="46" t="s">
        <v>2166</v>
      </c>
      <c r="F561" s="46" t="s">
        <v>2167</v>
      </c>
    </row>
    <row r="562" spans="1:6" ht="96">
      <c r="A562" s="11">
        <v>81879</v>
      </c>
      <c r="B562" s="46" t="s">
        <v>2168</v>
      </c>
      <c r="C562" s="46" t="s">
        <v>2169</v>
      </c>
      <c r="D562" s="47" t="s">
        <v>12</v>
      </c>
      <c r="E562" s="46" t="s">
        <v>2170</v>
      </c>
      <c r="F562" s="46" t="s">
        <v>2439</v>
      </c>
    </row>
    <row r="563" spans="1:6" ht="120">
      <c r="A563" s="11">
        <v>81880</v>
      </c>
      <c r="B563" s="46" t="s">
        <v>2171</v>
      </c>
      <c r="C563" s="46" t="s">
        <v>2172</v>
      </c>
      <c r="D563" s="47" t="s">
        <v>13</v>
      </c>
      <c r="E563" s="46" t="s">
        <v>2173</v>
      </c>
      <c r="F563" s="46" t="s">
        <v>2440</v>
      </c>
    </row>
    <row r="564" spans="1:6" ht="84">
      <c r="A564" s="11">
        <v>81881</v>
      </c>
      <c r="B564" s="46" t="s">
        <v>2174</v>
      </c>
      <c r="C564" s="46" t="s">
        <v>2175</v>
      </c>
      <c r="D564" s="47" t="s">
        <v>12</v>
      </c>
      <c r="E564" s="46" t="s">
        <v>2176</v>
      </c>
      <c r="F564" s="46" t="s">
        <v>2441</v>
      </c>
    </row>
    <row r="565" spans="1:6" ht="120">
      <c r="A565" s="11">
        <v>81951</v>
      </c>
      <c r="B565" s="46" t="s">
        <v>2177</v>
      </c>
      <c r="C565" s="46" t="s">
        <v>2178</v>
      </c>
      <c r="D565" s="47" t="s">
        <v>13</v>
      </c>
      <c r="E565" s="46" t="s">
        <v>2179</v>
      </c>
      <c r="F565" s="46" t="s">
        <v>2180</v>
      </c>
    </row>
    <row r="566" spans="1:6" ht="144">
      <c r="A566" s="11">
        <v>81971</v>
      </c>
      <c r="B566" s="46" t="s">
        <v>2181</v>
      </c>
      <c r="C566" s="46" t="s">
        <v>2182</v>
      </c>
      <c r="D566" s="47" t="s">
        <v>13</v>
      </c>
      <c r="E566" s="46" t="s">
        <v>2183</v>
      </c>
      <c r="F566" s="46" t="s">
        <v>2442</v>
      </c>
    </row>
    <row r="567" spans="1:6" ht="156">
      <c r="A567" s="11">
        <v>82022</v>
      </c>
      <c r="B567" s="46" t="s">
        <v>2443</v>
      </c>
      <c r="C567" s="46" t="s">
        <v>2444</v>
      </c>
      <c r="D567" s="47" t="s">
        <v>13</v>
      </c>
      <c r="E567" s="46" t="s">
        <v>2184</v>
      </c>
      <c r="F567" s="46" t="s">
        <v>2185</v>
      </c>
    </row>
    <row r="568" spans="1:6" ht="72">
      <c r="A568" s="11">
        <v>82024</v>
      </c>
      <c r="B568" s="46" t="s">
        <v>2186</v>
      </c>
      <c r="C568" s="46" t="s">
        <v>2187</v>
      </c>
      <c r="D568" s="47" t="s">
        <v>12</v>
      </c>
      <c r="E568" s="46" t="s">
        <v>2188</v>
      </c>
      <c r="F568" s="46" t="s">
        <v>2445</v>
      </c>
    </row>
    <row r="569" spans="1:6" ht="60">
      <c r="A569" s="11">
        <v>82268</v>
      </c>
      <c r="B569" s="46" t="s">
        <v>2189</v>
      </c>
      <c r="C569" s="46" t="s">
        <v>2190</v>
      </c>
      <c r="D569" s="47" t="s">
        <v>12</v>
      </c>
      <c r="E569" s="46" t="s">
        <v>2191</v>
      </c>
      <c r="F569" s="46" t="s">
        <v>2446</v>
      </c>
    </row>
    <row r="570" spans="1:6" ht="96">
      <c r="A570" s="11">
        <v>82497</v>
      </c>
      <c r="B570" s="46" t="s">
        <v>2192</v>
      </c>
      <c r="C570" s="46" t="s">
        <v>2193</v>
      </c>
      <c r="D570" s="47" t="s">
        <v>12</v>
      </c>
      <c r="E570" s="46" t="s">
        <v>2194</v>
      </c>
      <c r="F570" s="46" t="s">
        <v>2195</v>
      </c>
    </row>
    <row r="571" spans="1:6" ht="144">
      <c r="A571" s="11">
        <v>82524</v>
      </c>
      <c r="B571" s="46" t="s">
        <v>2196</v>
      </c>
      <c r="C571" s="46" t="s">
        <v>2197</v>
      </c>
      <c r="D571" s="47" t="s">
        <v>13</v>
      </c>
      <c r="E571" s="46" t="s">
        <v>2198</v>
      </c>
      <c r="F571" s="46" t="s">
        <v>2199</v>
      </c>
    </row>
    <row r="572" spans="1:6" ht="96">
      <c r="A572" s="11">
        <v>82525</v>
      </c>
      <c r="B572" s="46" t="s">
        <v>2200</v>
      </c>
      <c r="C572" s="46" t="s">
        <v>2193</v>
      </c>
      <c r="D572" s="47" t="s">
        <v>12</v>
      </c>
      <c r="E572" s="46" t="s">
        <v>2201</v>
      </c>
      <c r="F572" s="46" t="s">
        <v>2202</v>
      </c>
    </row>
    <row r="573" spans="1:6" ht="144">
      <c r="A573" s="11">
        <v>82565</v>
      </c>
      <c r="B573" s="46" t="s">
        <v>2203</v>
      </c>
      <c r="C573" s="46" t="s">
        <v>2197</v>
      </c>
      <c r="D573" s="47" t="s">
        <v>13</v>
      </c>
      <c r="E573" s="46" t="s">
        <v>2198</v>
      </c>
      <c r="F573" s="46" t="s">
        <v>2204</v>
      </c>
    </row>
    <row r="574" spans="1:6" ht="84">
      <c r="A574" s="11">
        <v>82642</v>
      </c>
      <c r="B574" s="46" t="s">
        <v>2205</v>
      </c>
      <c r="C574" s="46" t="s">
        <v>2206</v>
      </c>
      <c r="D574" s="47" t="s">
        <v>13</v>
      </c>
      <c r="E574" s="46" t="s">
        <v>2207</v>
      </c>
      <c r="F574" s="46" t="s">
        <v>2208</v>
      </c>
    </row>
    <row r="575" spans="1:6" ht="96">
      <c r="A575" s="11">
        <v>82643</v>
      </c>
      <c r="B575" s="46" t="s">
        <v>2209</v>
      </c>
      <c r="C575" s="46" t="s">
        <v>2210</v>
      </c>
      <c r="D575" s="47" t="s">
        <v>12</v>
      </c>
      <c r="E575" s="46" t="s">
        <v>2211</v>
      </c>
      <c r="F575" s="46" t="s">
        <v>2447</v>
      </c>
    </row>
    <row r="576" spans="1:6" ht="84">
      <c r="A576" s="11">
        <v>82659</v>
      </c>
      <c r="B576" s="46" t="s">
        <v>2212</v>
      </c>
      <c r="C576" s="46" t="s">
        <v>2213</v>
      </c>
      <c r="D576" s="47" t="s">
        <v>14</v>
      </c>
      <c r="E576" s="46" t="s">
        <v>2214</v>
      </c>
      <c r="F576" s="46" t="s">
        <v>2215</v>
      </c>
    </row>
    <row r="577" spans="1:6" ht="84">
      <c r="A577" s="11">
        <v>82697</v>
      </c>
      <c r="B577" s="46" t="s">
        <v>2216</v>
      </c>
      <c r="C577" s="46" t="s">
        <v>2217</v>
      </c>
      <c r="D577" s="47" t="s">
        <v>12</v>
      </c>
      <c r="E577" s="46" t="s">
        <v>2218</v>
      </c>
      <c r="F577" s="46" t="s">
        <v>2448</v>
      </c>
    </row>
    <row r="578" spans="1:6" ht="96">
      <c r="A578" s="11">
        <v>82766</v>
      </c>
      <c r="B578" s="46" t="s">
        <v>2219</v>
      </c>
      <c r="C578" s="46" t="s">
        <v>2220</v>
      </c>
      <c r="D578" s="47" t="s">
        <v>13</v>
      </c>
      <c r="E578" s="46" t="s">
        <v>2221</v>
      </c>
      <c r="F578" s="46" t="s">
        <v>2222</v>
      </c>
    </row>
    <row r="579" spans="1:6" ht="120">
      <c r="A579" s="11">
        <v>82792</v>
      </c>
      <c r="B579" s="46" t="s">
        <v>2223</v>
      </c>
      <c r="C579" s="46" t="s">
        <v>2224</v>
      </c>
      <c r="D579" s="47" t="s">
        <v>13</v>
      </c>
      <c r="E579" s="46" t="s">
        <v>2225</v>
      </c>
      <c r="F579" s="46" t="s">
        <v>2449</v>
      </c>
    </row>
    <row r="580" spans="1:6" ht="48">
      <c r="A580" s="11">
        <v>82847</v>
      </c>
      <c r="B580" s="46" t="s">
        <v>2450</v>
      </c>
      <c r="C580" s="46" t="s">
        <v>2451</v>
      </c>
      <c r="D580" s="47" t="s">
        <v>13</v>
      </c>
      <c r="E580" s="46" t="s">
        <v>2452</v>
      </c>
      <c r="F580" s="46" t="s">
        <v>2464</v>
      </c>
    </row>
    <row r="581" spans="1:6" ht="36">
      <c r="A581" s="11">
        <v>83050</v>
      </c>
      <c r="B581" s="46" t="s">
        <v>2226</v>
      </c>
      <c r="C581" s="46" t="s">
        <v>2227</v>
      </c>
      <c r="D581" s="47" t="s">
        <v>13</v>
      </c>
      <c r="E581" s="46" t="s">
        <v>2453</v>
      </c>
      <c r="F581" s="46" t="s">
        <v>2454</v>
      </c>
    </row>
    <row r="582" spans="1:6" ht="108">
      <c r="A582" s="11">
        <v>83052</v>
      </c>
      <c r="B582" s="46" t="s">
        <v>2228</v>
      </c>
      <c r="C582" s="46" t="s">
        <v>2229</v>
      </c>
      <c r="D582" s="47" t="s">
        <v>12</v>
      </c>
      <c r="E582" s="46" t="s">
        <v>2455</v>
      </c>
      <c r="F582" s="46" t="s">
        <v>2456</v>
      </c>
    </row>
    <row r="583" spans="1:6" ht="96">
      <c r="A583" s="11">
        <v>83086</v>
      </c>
      <c r="B583" s="46" t="s">
        <v>2230</v>
      </c>
      <c r="C583" s="46" t="s">
        <v>2231</v>
      </c>
      <c r="D583" s="47" t="s">
        <v>12</v>
      </c>
      <c r="E583" s="46" t="s">
        <v>2232</v>
      </c>
      <c r="F583" s="46" t="s">
        <v>2233</v>
      </c>
    </row>
    <row r="584" spans="1:6" ht="120">
      <c r="A584" s="11">
        <v>83109</v>
      </c>
      <c r="B584" s="46" t="s">
        <v>2234</v>
      </c>
      <c r="C584" s="46" t="s">
        <v>2235</v>
      </c>
      <c r="D584" s="47" t="s">
        <v>13</v>
      </c>
      <c r="E584" s="46" t="s">
        <v>2236</v>
      </c>
      <c r="F584" s="46" t="s">
        <v>2457</v>
      </c>
    </row>
    <row r="585" spans="1:6" ht="96">
      <c r="A585" s="11">
        <v>83110</v>
      </c>
      <c r="B585" s="46" t="s">
        <v>2237</v>
      </c>
      <c r="C585" s="46" t="s">
        <v>2238</v>
      </c>
      <c r="D585" s="47" t="s">
        <v>13</v>
      </c>
      <c r="E585" s="46" t="s">
        <v>2239</v>
      </c>
      <c r="F585" s="46" t="s">
        <v>2458</v>
      </c>
    </row>
    <row r="586" spans="1:6" ht="108">
      <c r="A586" s="11">
        <v>83112</v>
      </c>
      <c r="B586" s="46" t="s">
        <v>2240</v>
      </c>
      <c r="C586" s="46" t="s">
        <v>2241</v>
      </c>
      <c r="D586" s="47" t="s">
        <v>13</v>
      </c>
      <c r="E586" s="46" t="s">
        <v>2242</v>
      </c>
      <c r="F586" s="46" t="s">
        <v>2459</v>
      </c>
    </row>
    <row r="587" spans="1:6" ht="144">
      <c r="A587" s="11">
        <v>83134</v>
      </c>
      <c r="B587" s="46" t="s">
        <v>2243</v>
      </c>
      <c r="C587" s="46" t="s">
        <v>2244</v>
      </c>
      <c r="D587" s="47" t="s">
        <v>12</v>
      </c>
      <c r="E587" s="46" t="s">
        <v>2461</v>
      </c>
      <c r="F587" s="46" t="s">
        <v>2460</v>
      </c>
    </row>
    <row r="588" spans="1:6" ht="96">
      <c r="A588" s="11">
        <v>83182</v>
      </c>
      <c r="B588" s="46" t="s">
        <v>2245</v>
      </c>
      <c r="C588" s="46" t="s">
        <v>2246</v>
      </c>
      <c r="D588" s="47" t="s">
        <v>13</v>
      </c>
      <c r="E588" s="46" t="s">
        <v>2247</v>
      </c>
      <c r="F588" s="46" t="s">
        <v>2462</v>
      </c>
    </row>
    <row r="589" spans="1:6" ht="108">
      <c r="A589" s="11">
        <v>83252</v>
      </c>
      <c r="B589" s="46" t="s">
        <v>2248</v>
      </c>
      <c r="C589" s="46" t="s">
        <v>2249</v>
      </c>
      <c r="D589" s="47" t="s">
        <v>12</v>
      </c>
      <c r="E589" s="46" t="s">
        <v>2250</v>
      </c>
      <c r="F589" s="46" t="s">
        <v>2251</v>
      </c>
    </row>
    <row r="590" spans="1:6" ht="108">
      <c r="A590" s="11">
        <v>83256</v>
      </c>
      <c r="B590" s="46" t="s">
        <v>2252</v>
      </c>
      <c r="C590" s="46" t="s">
        <v>2253</v>
      </c>
      <c r="D590" s="47" t="s">
        <v>12</v>
      </c>
      <c r="E590" s="46" t="s">
        <v>2254</v>
      </c>
      <c r="F590" s="46" t="s">
        <v>2255</v>
      </c>
    </row>
    <row r="591" spans="1:6" ht="120">
      <c r="A591" s="11">
        <v>83277</v>
      </c>
      <c r="B591" s="46" t="s">
        <v>2256</v>
      </c>
      <c r="C591" s="46" t="s">
        <v>2257</v>
      </c>
      <c r="D591" s="47" t="s">
        <v>13</v>
      </c>
      <c r="E591" s="46" t="s">
        <v>2258</v>
      </c>
      <c r="F591" s="46" t="s">
        <v>2259</v>
      </c>
    </row>
    <row r="592" spans="1:6" ht="120">
      <c r="A592" s="11">
        <v>83344</v>
      </c>
      <c r="B592" s="46" t="s">
        <v>2260</v>
      </c>
      <c r="C592" s="46" t="s">
        <v>2261</v>
      </c>
      <c r="D592" s="47" t="s">
        <v>12</v>
      </c>
      <c r="E592" s="46" t="s">
        <v>2262</v>
      </c>
      <c r="F592" s="46" t="s">
        <v>2263</v>
      </c>
    </row>
    <row r="593" spans="1:6" ht="120">
      <c r="A593" s="11">
        <v>83345</v>
      </c>
      <c r="B593" s="46" t="s">
        <v>2264</v>
      </c>
      <c r="C593" s="46" t="s">
        <v>2265</v>
      </c>
      <c r="D593" s="47" t="s">
        <v>13</v>
      </c>
      <c r="E593" s="46" t="s">
        <v>2266</v>
      </c>
      <c r="F593" s="46" t="s">
        <v>2463</v>
      </c>
    </row>
    <row r="594" spans="1:6" ht="144">
      <c r="A594" s="11">
        <v>83434</v>
      </c>
      <c r="B594" s="46" t="s">
        <v>2267</v>
      </c>
      <c r="C594" s="46" t="s">
        <v>2268</v>
      </c>
      <c r="D594" s="47" t="s">
        <v>13</v>
      </c>
      <c r="E594" s="46" t="s">
        <v>2269</v>
      </c>
      <c r="F594" s="46" t="s">
        <v>2270</v>
      </c>
    </row>
    <row r="595" spans="1:6" ht="144">
      <c r="A595" s="11">
        <v>83544</v>
      </c>
      <c r="B595" s="46" t="s">
        <v>2271</v>
      </c>
      <c r="C595" s="46" t="s">
        <v>2268</v>
      </c>
      <c r="D595" s="47" t="s">
        <v>13</v>
      </c>
      <c r="E595" s="46" t="s">
        <v>2269</v>
      </c>
      <c r="F595" s="46" t="s">
        <v>2270</v>
      </c>
    </row>
    <row r="596" spans="1:6" ht="96">
      <c r="A596" s="11">
        <v>83777</v>
      </c>
      <c r="B596" s="46" t="s">
        <v>2272</v>
      </c>
      <c r="C596" s="46" t="s">
        <v>2273</v>
      </c>
      <c r="D596" s="47" t="s">
        <v>13</v>
      </c>
      <c r="E596" s="46" t="s">
        <v>2274</v>
      </c>
      <c r="F596" s="46" t="s">
        <v>2464</v>
      </c>
    </row>
    <row r="597" spans="1:6" ht="108">
      <c r="A597" s="11">
        <v>83778</v>
      </c>
      <c r="B597" s="46" t="s">
        <v>2275</v>
      </c>
      <c r="C597" s="46" t="s">
        <v>2276</v>
      </c>
      <c r="D597" s="47" t="s">
        <v>13</v>
      </c>
      <c r="E597" s="46" t="s">
        <v>2277</v>
      </c>
      <c r="F597" s="46" t="s">
        <v>2278</v>
      </c>
    </row>
    <row r="598" spans="1:6" ht="36">
      <c r="A598" s="11">
        <v>83950</v>
      </c>
      <c r="B598" s="46" t="s">
        <v>2279</v>
      </c>
      <c r="C598" s="46" t="s">
        <v>2280</v>
      </c>
      <c r="D598" s="47" t="s">
        <v>12</v>
      </c>
      <c r="E598" s="46" t="s">
        <v>2281</v>
      </c>
      <c r="F598" s="46" t="s">
        <v>2465</v>
      </c>
    </row>
    <row r="599" spans="1:6" ht="72">
      <c r="A599" s="11">
        <v>83989</v>
      </c>
      <c r="B599" s="46" t="s">
        <v>2282</v>
      </c>
      <c r="C599" s="46" t="s">
        <v>2283</v>
      </c>
      <c r="D599" s="47" t="s">
        <v>12</v>
      </c>
      <c r="E599" s="46" t="s">
        <v>2284</v>
      </c>
      <c r="F599" s="46" t="s">
        <v>2285</v>
      </c>
    </row>
    <row r="600" spans="1:6" ht="48">
      <c r="A600" s="11">
        <v>83990</v>
      </c>
      <c r="B600" s="46" t="s">
        <v>2286</v>
      </c>
      <c r="C600" s="46" t="s">
        <v>2287</v>
      </c>
      <c r="D600" s="47" t="s">
        <v>13</v>
      </c>
      <c r="E600" s="46" t="s">
        <v>2288</v>
      </c>
      <c r="F600" s="46" t="s">
        <v>2289</v>
      </c>
    </row>
    <row r="601" spans="1:6" ht="96">
      <c r="A601" s="11">
        <v>84117</v>
      </c>
      <c r="B601" s="46" t="s">
        <v>2290</v>
      </c>
      <c r="C601" s="46" t="s">
        <v>2291</v>
      </c>
      <c r="D601" s="47" t="s">
        <v>14</v>
      </c>
      <c r="E601" s="46" t="s">
        <v>2292</v>
      </c>
      <c r="F601" s="46" t="s">
        <v>2466</v>
      </c>
    </row>
    <row r="602" spans="1:6" ht="156">
      <c r="A602" s="11">
        <v>84148</v>
      </c>
      <c r="B602" s="46" t="s">
        <v>2293</v>
      </c>
      <c r="C602" s="46" t="s">
        <v>2294</v>
      </c>
      <c r="D602" s="47" t="s">
        <v>13</v>
      </c>
      <c r="E602" s="46" t="s">
        <v>2295</v>
      </c>
      <c r="F602" s="46" t="s">
        <v>2467</v>
      </c>
    </row>
    <row r="603" spans="1:6" ht="132">
      <c r="A603" s="11">
        <v>84230</v>
      </c>
      <c r="B603" s="46" t="s">
        <v>2296</v>
      </c>
      <c r="C603" s="46" t="s">
        <v>2297</v>
      </c>
      <c r="D603" s="47" t="s">
        <v>12</v>
      </c>
      <c r="E603" s="46" t="s">
        <v>2298</v>
      </c>
      <c r="F603" s="46" t="s">
        <v>2299</v>
      </c>
    </row>
    <row r="604" spans="1:6" ht="48">
      <c r="A604" s="11">
        <v>84339</v>
      </c>
      <c r="B604" s="46" t="s">
        <v>2300</v>
      </c>
      <c r="C604" s="46" t="s">
        <v>2301</v>
      </c>
      <c r="D604" s="47" t="s">
        <v>12</v>
      </c>
      <c r="E604" s="46" t="s">
        <v>2302</v>
      </c>
      <c r="F604" s="46" t="s">
        <v>2303</v>
      </c>
    </row>
    <row r="605" spans="1:6" ht="72">
      <c r="A605" s="11">
        <v>84428</v>
      </c>
      <c r="B605" s="46" t="s">
        <v>2304</v>
      </c>
      <c r="C605" s="46" t="s">
        <v>2305</v>
      </c>
      <c r="D605" s="47" t="s">
        <v>12</v>
      </c>
      <c r="E605" s="46" t="s">
        <v>2306</v>
      </c>
      <c r="F605" s="46" t="s">
        <v>2468</v>
      </c>
    </row>
    <row r="606" spans="1:6" ht="108">
      <c r="A606" s="11">
        <v>84444</v>
      </c>
      <c r="B606" s="46" t="s">
        <v>2307</v>
      </c>
      <c r="C606" s="46" t="s">
        <v>2308</v>
      </c>
      <c r="D606" s="47" t="s">
        <v>12</v>
      </c>
      <c r="E606" s="46" t="s">
        <v>2309</v>
      </c>
      <c r="F606" s="46" t="s">
        <v>2310</v>
      </c>
    </row>
    <row r="607" spans="1:6" ht="108">
      <c r="A607" s="11">
        <v>84487</v>
      </c>
      <c r="B607" s="46" t="s">
        <v>2311</v>
      </c>
      <c r="C607" s="46" t="s">
        <v>2312</v>
      </c>
      <c r="D607" s="47" t="s">
        <v>12</v>
      </c>
      <c r="E607" s="46" t="s">
        <v>2313</v>
      </c>
      <c r="F607" s="46" t="s">
        <v>2314</v>
      </c>
    </row>
    <row r="608" spans="1:6" ht="96">
      <c r="A608" s="11">
        <v>84564</v>
      </c>
      <c r="B608" s="46" t="s">
        <v>2315</v>
      </c>
      <c r="C608" s="46" t="s">
        <v>2316</v>
      </c>
      <c r="D608" s="47" t="s">
        <v>13</v>
      </c>
      <c r="E608" s="46" t="s">
        <v>2317</v>
      </c>
      <c r="F608" s="46" t="s">
        <v>2318</v>
      </c>
    </row>
    <row r="609" spans="1:6" ht="96">
      <c r="A609" s="11">
        <v>84635</v>
      </c>
      <c r="B609" s="46" t="s">
        <v>2319</v>
      </c>
      <c r="C609" s="46" t="s">
        <v>2320</v>
      </c>
      <c r="D609" s="47" t="s">
        <v>12</v>
      </c>
      <c r="E609" s="46" t="s">
        <v>2321</v>
      </c>
      <c r="F609" s="46" t="s">
        <v>2469</v>
      </c>
    </row>
    <row r="610" spans="1:6" ht="180">
      <c r="A610" s="11">
        <v>84664</v>
      </c>
      <c r="B610" s="46" t="s">
        <v>2470</v>
      </c>
      <c r="C610" s="46" t="s">
        <v>2471</v>
      </c>
      <c r="D610" s="47" t="s">
        <v>14</v>
      </c>
      <c r="E610" s="46" t="s">
        <v>2323</v>
      </c>
      <c r="F610" s="46" t="s">
        <v>2324</v>
      </c>
    </row>
    <row r="611" spans="1:6" ht="180">
      <c r="A611" s="11">
        <v>84666</v>
      </c>
      <c r="B611" s="46" t="s">
        <v>2325</v>
      </c>
      <c r="C611" s="46" t="s">
        <v>2322</v>
      </c>
      <c r="D611" s="47" t="s">
        <v>12</v>
      </c>
      <c r="E611" s="46" t="s">
        <v>2323</v>
      </c>
      <c r="F611" s="46" t="s">
        <v>2326</v>
      </c>
    </row>
    <row r="612" spans="1:6" ht="180">
      <c r="A612" s="11">
        <v>84900</v>
      </c>
      <c r="B612" s="46" t="s">
        <v>2472</v>
      </c>
      <c r="C612" s="46" t="s">
        <v>2322</v>
      </c>
      <c r="D612" s="47" t="s">
        <v>14</v>
      </c>
      <c r="E612" s="46" t="s">
        <v>2323</v>
      </c>
      <c r="F612" s="46" t="s">
        <v>2326</v>
      </c>
    </row>
    <row r="613" spans="1:6" ht="84">
      <c r="A613" s="11">
        <v>85122</v>
      </c>
      <c r="B613" s="46" t="s">
        <v>2327</v>
      </c>
      <c r="C613" s="46" t="s">
        <v>2328</v>
      </c>
      <c r="D613" s="47" t="s">
        <v>12</v>
      </c>
      <c r="E613" s="46" t="s">
        <v>2329</v>
      </c>
      <c r="F613" s="46" t="s">
        <v>2473</v>
      </c>
    </row>
    <row r="614" spans="1:6" ht="120">
      <c r="A614" s="11">
        <v>85155</v>
      </c>
      <c r="B614" s="46" t="s">
        <v>2330</v>
      </c>
      <c r="C614" s="46" t="s">
        <v>2331</v>
      </c>
      <c r="D614" s="47" t="s">
        <v>12</v>
      </c>
      <c r="E614" s="46" t="s">
        <v>2332</v>
      </c>
      <c r="F614" s="46" t="s">
        <v>2474</v>
      </c>
    </row>
    <row r="615" spans="1:6" ht="204">
      <c r="A615" s="11">
        <v>85156</v>
      </c>
      <c r="B615" s="46" t="s">
        <v>2333</v>
      </c>
      <c r="C615" s="46" t="s">
        <v>2334</v>
      </c>
      <c r="D615" s="47" t="s">
        <v>13</v>
      </c>
      <c r="E615" s="46" t="s">
        <v>2335</v>
      </c>
      <c r="F615" s="46" t="s">
        <v>2336</v>
      </c>
    </row>
    <row r="616" spans="1:6" ht="132">
      <c r="A616" s="11">
        <v>85240</v>
      </c>
      <c r="B616" s="46" t="s">
        <v>2337</v>
      </c>
      <c r="C616" s="46" t="s">
        <v>2338</v>
      </c>
      <c r="D616" s="47" t="s">
        <v>13</v>
      </c>
      <c r="E616" s="46" t="s">
        <v>2339</v>
      </c>
      <c r="F616" s="46" t="s">
        <v>2340</v>
      </c>
    </row>
    <row r="617" spans="1:6" ht="48">
      <c r="A617" s="11">
        <v>85297</v>
      </c>
      <c r="B617" s="46" t="s">
        <v>2341</v>
      </c>
      <c r="C617" s="46" t="s">
        <v>2342</v>
      </c>
      <c r="D617" s="47" t="s">
        <v>12</v>
      </c>
      <c r="E617" s="46" t="s">
        <v>2343</v>
      </c>
      <c r="F617" s="46" t="s">
        <v>2344</v>
      </c>
    </row>
    <row r="618" spans="1:6" ht="409.5">
      <c r="A618" s="11">
        <v>85344</v>
      </c>
      <c r="B618" s="46" t="s">
        <v>2345</v>
      </c>
      <c r="C618" s="46" t="s">
        <v>2346</v>
      </c>
      <c r="D618" s="47" t="s">
        <v>14</v>
      </c>
      <c r="E618" s="46" t="s">
        <v>2347</v>
      </c>
      <c r="F618" s="46" t="s">
        <v>2348</v>
      </c>
    </row>
    <row r="619" spans="1:6" ht="409.5">
      <c r="A619" s="11">
        <v>85345</v>
      </c>
      <c r="B619" s="46" t="s">
        <v>2349</v>
      </c>
      <c r="C619" s="46" t="s">
        <v>2350</v>
      </c>
      <c r="D619" s="47" t="s">
        <v>14</v>
      </c>
      <c r="E619" s="46" t="s">
        <v>2347</v>
      </c>
      <c r="F619" s="46" t="s">
        <v>2344</v>
      </c>
    </row>
    <row r="620" spans="1:6" ht="84">
      <c r="A620" s="11">
        <v>85506</v>
      </c>
      <c r="B620" s="46" t="s">
        <v>2351</v>
      </c>
      <c r="C620" s="46" t="s">
        <v>2352</v>
      </c>
      <c r="D620" s="47" t="s">
        <v>13</v>
      </c>
      <c r="E620" s="46" t="s">
        <v>2353</v>
      </c>
      <c r="F620" s="46" t="s">
        <v>2475</v>
      </c>
    </row>
    <row r="621" spans="1:6" ht="409.5">
      <c r="A621" s="11">
        <v>85578</v>
      </c>
      <c r="B621" s="46" t="s">
        <v>2354</v>
      </c>
      <c r="C621" s="46" t="s">
        <v>2355</v>
      </c>
      <c r="D621" s="47" t="s">
        <v>14</v>
      </c>
      <c r="E621" s="46" t="s">
        <v>2347</v>
      </c>
      <c r="F621" s="46" t="s">
        <v>2344</v>
      </c>
    </row>
    <row r="622" spans="1:6" ht="409.5">
      <c r="A622" s="11">
        <v>85648</v>
      </c>
      <c r="B622" s="46" t="s">
        <v>2356</v>
      </c>
      <c r="C622" s="46" t="s">
        <v>2357</v>
      </c>
      <c r="D622" s="47" t="s">
        <v>14</v>
      </c>
      <c r="E622" s="46" t="s">
        <v>2347</v>
      </c>
      <c r="F622" s="46" t="s">
        <v>2344</v>
      </c>
    </row>
    <row r="623" spans="1:6" ht="48">
      <c r="A623" s="11">
        <v>85660</v>
      </c>
      <c r="B623" s="46" t="s">
        <v>2358</v>
      </c>
      <c r="C623" s="46" t="s">
        <v>2359</v>
      </c>
      <c r="D623" s="47" t="s">
        <v>12</v>
      </c>
      <c r="E623" s="46" t="s">
        <v>2360</v>
      </c>
      <c r="F623" s="46" t="s">
        <v>2361</v>
      </c>
    </row>
    <row r="624" spans="1:6" ht="108">
      <c r="A624" s="11">
        <v>85682</v>
      </c>
      <c r="B624" s="46" t="s">
        <v>2362</v>
      </c>
      <c r="C624" s="46" t="s">
        <v>2363</v>
      </c>
      <c r="D624" s="47" t="s">
        <v>14</v>
      </c>
      <c r="E624" s="46" t="s">
        <v>2364</v>
      </c>
      <c r="F624" s="46" t="s">
        <v>2344</v>
      </c>
    </row>
    <row r="625" spans="1:6" ht="108">
      <c r="A625" s="11">
        <v>85724</v>
      </c>
      <c r="B625" s="46" t="s">
        <v>2365</v>
      </c>
      <c r="C625" s="46" t="s">
        <v>2366</v>
      </c>
      <c r="D625" s="47" t="s">
        <v>12</v>
      </c>
      <c r="E625" s="46" t="s">
        <v>2367</v>
      </c>
      <c r="F625" s="46" t="s">
        <v>2368</v>
      </c>
    </row>
    <row r="626" spans="1:6" ht="48">
      <c r="A626" s="11">
        <v>85797</v>
      </c>
      <c r="B626" s="46" t="s">
        <v>2369</v>
      </c>
      <c r="C626" s="46" t="s">
        <v>2370</v>
      </c>
      <c r="D626" s="47" t="s">
        <v>13</v>
      </c>
      <c r="E626" s="46" t="s">
        <v>2371</v>
      </c>
      <c r="F626" s="46" t="s">
        <v>2372</v>
      </c>
    </row>
    <row r="627" spans="1:6" ht="384">
      <c r="A627" s="11">
        <v>85872</v>
      </c>
      <c r="B627" s="46" t="s">
        <v>2373</v>
      </c>
      <c r="C627" s="46" t="s">
        <v>2374</v>
      </c>
      <c r="D627" s="47" t="s">
        <v>13</v>
      </c>
      <c r="E627" s="46" t="s">
        <v>2375</v>
      </c>
      <c r="F627" s="46" t="s">
        <v>2376</v>
      </c>
    </row>
    <row r="628" spans="1:6" ht="48">
      <c r="A628" s="11">
        <v>85907</v>
      </c>
      <c r="B628" s="46" t="s">
        <v>2377</v>
      </c>
      <c r="C628" s="46" t="s">
        <v>2378</v>
      </c>
      <c r="D628" s="47" t="s">
        <v>12</v>
      </c>
      <c r="E628" s="46" t="s">
        <v>2379</v>
      </c>
      <c r="F628" s="46" t="s">
        <v>2380</v>
      </c>
    </row>
    <row r="629" spans="1:6" ht="132">
      <c r="A629" s="11">
        <v>85982</v>
      </c>
      <c r="B629" s="46" t="s">
        <v>2381</v>
      </c>
      <c r="C629" s="46" t="s">
        <v>2338</v>
      </c>
      <c r="D629" s="47" t="s">
        <v>2382</v>
      </c>
      <c r="E629" s="46" t="s">
        <v>2339</v>
      </c>
      <c r="F629" s="46" t="s">
        <v>2383</v>
      </c>
    </row>
    <row r="630" spans="1:6" ht="409.5">
      <c r="A630" s="11">
        <v>86102</v>
      </c>
      <c r="B630" s="46" t="s">
        <v>2384</v>
      </c>
      <c r="C630" s="46" t="s">
        <v>2385</v>
      </c>
      <c r="D630" s="47" t="s">
        <v>13</v>
      </c>
      <c r="E630" s="46" t="s">
        <v>2386</v>
      </c>
      <c r="F630" s="46" t="s">
        <v>2344</v>
      </c>
    </row>
    <row r="631" spans="1:6" ht="409.5">
      <c r="A631" s="11">
        <v>86103</v>
      </c>
      <c r="B631" s="46" t="s">
        <v>2387</v>
      </c>
      <c r="C631" s="46" t="s">
        <v>2388</v>
      </c>
      <c r="D631" s="47" t="s">
        <v>13</v>
      </c>
      <c r="E631" s="46" t="s">
        <v>2386</v>
      </c>
      <c r="F631" s="46" t="s">
        <v>2389</v>
      </c>
    </row>
    <row r="632" spans="1:6" ht="409.5">
      <c r="A632" s="11">
        <v>86144</v>
      </c>
      <c r="B632" s="46" t="s">
        <v>2390</v>
      </c>
      <c r="C632" s="46" t="s">
        <v>2391</v>
      </c>
      <c r="D632" s="47" t="s">
        <v>13</v>
      </c>
      <c r="E632" s="46" t="s">
        <v>2386</v>
      </c>
      <c r="F632" s="46" t="s">
        <v>2392</v>
      </c>
    </row>
    <row r="633" spans="1:6" ht="48">
      <c r="A633" s="11">
        <v>86145</v>
      </c>
      <c r="B633" s="46" t="s">
        <v>2393</v>
      </c>
      <c r="C633" s="46" t="s">
        <v>2476</v>
      </c>
      <c r="D633" s="47" t="s">
        <v>13</v>
      </c>
      <c r="E633" s="46" t="s">
        <v>2477</v>
      </c>
      <c r="F633" s="46" t="s">
        <v>2478</v>
      </c>
    </row>
    <row r="634" spans="1:6" ht="409.5">
      <c r="A634" s="11">
        <v>86291</v>
      </c>
      <c r="B634" s="46" t="s">
        <v>2394</v>
      </c>
      <c r="C634" s="46" t="s">
        <v>2395</v>
      </c>
      <c r="D634" s="47" t="s">
        <v>13</v>
      </c>
      <c r="E634" s="46" t="s">
        <v>2386</v>
      </c>
      <c r="F634" s="46" t="s">
        <v>2479</v>
      </c>
    </row>
    <row r="635" spans="1:6" ht="409.5">
      <c r="A635" s="11">
        <v>86293</v>
      </c>
      <c r="B635" s="46" t="s">
        <v>2396</v>
      </c>
      <c r="C635" s="46" t="s">
        <v>2397</v>
      </c>
      <c r="D635" s="47" t="s">
        <v>13</v>
      </c>
      <c r="E635" s="46" t="s">
        <v>2386</v>
      </c>
      <c r="F635" s="46" t="s">
        <v>2398</v>
      </c>
    </row>
    <row r="636" spans="1:6" ht="48">
      <c r="A636" s="11">
        <v>86294</v>
      </c>
      <c r="B636" s="46" t="s">
        <v>2399</v>
      </c>
      <c r="C636" s="46" t="s">
        <v>2400</v>
      </c>
      <c r="D636" s="47" t="s">
        <v>13</v>
      </c>
      <c r="E636" s="46" t="s">
        <v>2401</v>
      </c>
      <c r="F636" s="46" t="s">
        <v>2376</v>
      </c>
    </row>
    <row r="637" spans="1:6" ht="120">
      <c r="A637" s="11">
        <v>86379</v>
      </c>
      <c r="B637" s="46" t="s">
        <v>2402</v>
      </c>
      <c r="C637" s="46" t="s">
        <v>2403</v>
      </c>
      <c r="D637" s="47" t="s">
        <v>13</v>
      </c>
      <c r="E637" s="46" t="s">
        <v>2404</v>
      </c>
      <c r="F637" s="46" t="s">
        <v>2405</v>
      </c>
    </row>
    <row r="638" spans="1:6" ht="60">
      <c r="A638" s="11">
        <v>86443</v>
      </c>
      <c r="B638" s="46" t="s">
        <v>2406</v>
      </c>
      <c r="C638" s="46" t="s">
        <v>2407</v>
      </c>
      <c r="D638" s="47" t="s">
        <v>12</v>
      </c>
      <c r="E638" s="46" t="s">
        <v>2408</v>
      </c>
      <c r="F638" s="46" t="s">
        <v>2344</v>
      </c>
    </row>
    <row r="639" spans="1:6" ht="360">
      <c r="A639" s="11">
        <v>86491</v>
      </c>
      <c r="B639" s="46" t="s">
        <v>2409</v>
      </c>
      <c r="C639" s="46" t="s">
        <v>2410</v>
      </c>
      <c r="D639" s="47" t="s">
        <v>13</v>
      </c>
      <c r="E639" s="46" t="s">
        <v>2411</v>
      </c>
      <c r="F639" s="46" t="s">
        <v>2376</v>
      </c>
    </row>
    <row r="640" spans="1:6" ht="48">
      <c r="A640" s="11">
        <v>86494</v>
      </c>
      <c r="B640" s="46" t="s">
        <v>2412</v>
      </c>
      <c r="C640" s="46" t="s">
        <v>2413</v>
      </c>
      <c r="D640" s="47" t="s">
        <v>13</v>
      </c>
      <c r="E640" s="46" t="s">
        <v>2414</v>
      </c>
      <c r="F640" s="46" t="s">
        <v>2415</v>
      </c>
    </row>
    <row r="641" spans="1:6" ht="36">
      <c r="A641" s="11">
        <v>11411</v>
      </c>
      <c r="B641" s="46" t="s">
        <v>2416</v>
      </c>
      <c r="C641" s="46" t="s">
        <v>2480</v>
      </c>
      <c r="D641" s="47" t="s">
        <v>12</v>
      </c>
      <c r="E641" s="46" t="s">
        <v>2481</v>
      </c>
      <c r="F641" s="46" t="s">
        <v>2482</v>
      </c>
    </row>
    <row r="642" spans="1:6" ht="324">
      <c r="A642" s="11">
        <v>72834</v>
      </c>
      <c r="B642" s="46" t="s">
        <v>2483</v>
      </c>
      <c r="C642" s="46" t="s">
        <v>2484</v>
      </c>
      <c r="D642" s="47" t="s">
        <v>12</v>
      </c>
      <c r="E642" s="46" t="s">
        <v>2417</v>
      </c>
      <c r="F642" s="46" t="s">
        <v>576</v>
      </c>
    </row>
    <row r="643" spans="1:6" ht="36">
      <c r="A643" s="11">
        <v>74496</v>
      </c>
      <c r="B643" s="46" t="s">
        <v>2418</v>
      </c>
      <c r="C643" s="46" t="s">
        <v>2485</v>
      </c>
      <c r="D643" s="47" t="s">
        <v>14</v>
      </c>
      <c r="E643" s="46" t="s">
        <v>2486</v>
      </c>
      <c r="F643" s="46" t="s">
        <v>2487</v>
      </c>
    </row>
    <row r="644" spans="1:6" ht="48">
      <c r="A644" s="11">
        <v>10956</v>
      </c>
      <c r="B644" s="46" t="s">
        <v>2488</v>
      </c>
      <c r="C644" s="46" t="s">
        <v>2419</v>
      </c>
      <c r="D644" s="47" t="s">
        <v>12</v>
      </c>
      <c r="E644" s="46" t="s">
        <v>2489</v>
      </c>
      <c r="F644" s="46" t="s">
        <v>2490</v>
      </c>
    </row>
    <row r="645" spans="1:6" ht="47.25" customHeight="1">
      <c r="A645" s="47">
        <v>10891</v>
      </c>
      <c r="B645" s="46" t="s">
        <v>2491</v>
      </c>
      <c r="C645" s="46" t="s">
        <v>2492</v>
      </c>
      <c r="D645" s="47" t="s">
        <v>12</v>
      </c>
      <c r="E645" s="46" t="s">
        <v>2523</v>
      </c>
      <c r="F645" s="46" t="s">
        <v>2524</v>
      </c>
    </row>
    <row r="646" spans="1:6" ht="48">
      <c r="A646" s="47">
        <v>52615</v>
      </c>
      <c r="B646" s="46" t="s">
        <v>2493</v>
      </c>
      <c r="C646" s="46" t="s">
        <v>2515</v>
      </c>
      <c r="D646" s="47" t="s">
        <v>13</v>
      </c>
      <c r="E646" s="46" t="s">
        <v>2516</v>
      </c>
      <c r="F646" s="46" t="s">
        <v>2522</v>
      </c>
    </row>
    <row r="647" spans="1:6" ht="48">
      <c r="A647" s="47">
        <v>55169</v>
      </c>
      <c r="B647" s="46" t="s">
        <v>2494</v>
      </c>
      <c r="C647" s="46" t="s">
        <v>2495</v>
      </c>
      <c r="D647" s="47" t="s">
        <v>12</v>
      </c>
      <c r="E647" s="46" t="s">
        <v>2517</v>
      </c>
      <c r="F647" s="46" t="s">
        <v>2522</v>
      </c>
    </row>
    <row r="648" spans="1:6" ht="48">
      <c r="A648" s="47">
        <v>56229</v>
      </c>
      <c r="B648" s="46" t="s">
        <v>2496</v>
      </c>
      <c r="C648" s="46" t="s">
        <v>2497</v>
      </c>
      <c r="D648" s="47" t="s">
        <v>12</v>
      </c>
      <c r="E648" s="46" t="s">
        <v>2518</v>
      </c>
      <c r="F648" s="46" t="s">
        <v>2522</v>
      </c>
    </row>
    <row r="649" spans="1:6" ht="48">
      <c r="A649" s="47">
        <v>58595</v>
      </c>
      <c r="B649" s="46" t="s">
        <v>2498</v>
      </c>
      <c r="C649" s="46" t="s">
        <v>2499</v>
      </c>
      <c r="D649" s="47" t="s">
        <v>12</v>
      </c>
      <c r="E649" s="46" t="s">
        <v>2520</v>
      </c>
      <c r="F649" s="46" t="s">
        <v>2522</v>
      </c>
    </row>
    <row r="650" spans="1:6" ht="48">
      <c r="A650" s="47">
        <v>59728</v>
      </c>
      <c r="B650" s="46" t="s">
        <v>2500</v>
      </c>
      <c r="C650" s="46" t="s">
        <v>2501</v>
      </c>
      <c r="D650" s="47" t="s">
        <v>12</v>
      </c>
      <c r="E650" s="46" t="s">
        <v>2521</v>
      </c>
      <c r="F650" s="46" t="s">
        <v>2522</v>
      </c>
    </row>
    <row r="651" spans="1:6" ht="48">
      <c r="A651" s="47">
        <v>62413</v>
      </c>
      <c r="B651" s="46" t="s">
        <v>2502</v>
      </c>
      <c r="C651" s="46" t="s">
        <v>2503</v>
      </c>
      <c r="D651" s="47" t="s">
        <v>12</v>
      </c>
      <c r="E651" s="46" t="s">
        <v>2519</v>
      </c>
      <c r="F651" s="46" t="s">
        <v>2522</v>
      </c>
    </row>
    <row r="652" spans="1:6" ht="60">
      <c r="A652" s="47">
        <v>40984</v>
      </c>
      <c r="B652" s="46" t="s">
        <v>2504</v>
      </c>
      <c r="C652" s="46" t="s">
        <v>2525</v>
      </c>
      <c r="D652" s="47" t="s">
        <v>12</v>
      </c>
      <c r="E652" s="46" t="s">
        <v>2526</v>
      </c>
      <c r="F652" s="46" t="s">
        <v>2527</v>
      </c>
    </row>
    <row r="653" spans="1:6" ht="48">
      <c r="A653" s="47">
        <v>88098</v>
      </c>
      <c r="B653" s="46" t="s">
        <v>2505</v>
      </c>
      <c r="C653" s="46" t="s">
        <v>2528</v>
      </c>
      <c r="D653" s="47" t="s">
        <v>12</v>
      </c>
      <c r="E653" s="46" t="s">
        <v>2529</v>
      </c>
      <c r="F653" s="46" t="s">
        <v>2530</v>
      </c>
    </row>
    <row r="654" spans="1:6" ht="60">
      <c r="A654" s="47">
        <v>42044</v>
      </c>
      <c r="B654" s="46" t="s">
        <v>2506</v>
      </c>
      <c r="C654" s="46" t="s">
        <v>2531</v>
      </c>
      <c r="D654" s="47" t="s">
        <v>12</v>
      </c>
      <c r="E654" s="46" t="s">
        <v>2532</v>
      </c>
      <c r="F654" s="46" t="s">
        <v>2537</v>
      </c>
    </row>
    <row r="655" spans="1:6" ht="60">
      <c r="A655" s="47">
        <v>46173</v>
      </c>
      <c r="B655" s="46" t="s">
        <v>2507</v>
      </c>
      <c r="C655" s="46" t="s">
        <v>2508</v>
      </c>
      <c r="D655" s="47" t="s">
        <v>12</v>
      </c>
      <c r="E655" s="46" t="s">
        <v>2533</v>
      </c>
      <c r="F655" s="46" t="s">
        <v>2537</v>
      </c>
    </row>
    <row r="656" spans="1:6" ht="60">
      <c r="A656" s="47">
        <v>51840</v>
      </c>
      <c r="B656" s="46" t="s">
        <v>2509</v>
      </c>
      <c r="C656" s="46" t="s">
        <v>2510</v>
      </c>
      <c r="D656" s="47" t="s">
        <v>14</v>
      </c>
      <c r="E656" s="46" t="s">
        <v>2534</v>
      </c>
      <c r="F656" s="46" t="s">
        <v>2537</v>
      </c>
    </row>
    <row r="657" spans="1:6" ht="60">
      <c r="A657" s="47">
        <v>59644</v>
      </c>
      <c r="B657" s="46" t="s">
        <v>2511</v>
      </c>
      <c r="C657" s="46" t="s">
        <v>2512</v>
      </c>
      <c r="D657" s="47" t="s">
        <v>12</v>
      </c>
      <c r="E657" s="46" t="s">
        <v>2536</v>
      </c>
      <c r="F657" s="46" t="s">
        <v>2537</v>
      </c>
    </row>
    <row r="658" spans="1:6" ht="60">
      <c r="A658" s="47">
        <v>60098</v>
      </c>
      <c r="B658" s="46" t="s">
        <v>2513</v>
      </c>
      <c r="C658" s="46" t="s">
        <v>2514</v>
      </c>
      <c r="D658" s="47" t="s">
        <v>13</v>
      </c>
      <c r="E658" s="46" t="s">
        <v>2535</v>
      </c>
      <c r="F658" s="46" t="s">
        <v>2537</v>
      </c>
    </row>
    <row r="659" spans="1:6" ht="60">
      <c r="A659" s="47">
        <v>18028</v>
      </c>
      <c r="B659" s="46" t="s">
        <v>2538</v>
      </c>
      <c r="C659" s="46" t="s">
        <v>2540</v>
      </c>
      <c r="D659" s="47" t="s">
        <v>2539</v>
      </c>
      <c r="E659" s="46" t="s">
        <v>2541</v>
      </c>
      <c r="F659" s="46" t="s">
        <v>2542</v>
      </c>
    </row>
    <row r="660" spans="1:6" ht="72">
      <c r="A660" s="47">
        <v>80917</v>
      </c>
      <c r="B660" s="46" t="s">
        <v>2543</v>
      </c>
      <c r="C660" s="46" t="s">
        <v>2544</v>
      </c>
      <c r="D660" s="47" t="s">
        <v>14</v>
      </c>
      <c r="E660" s="46" t="s">
        <v>2545</v>
      </c>
      <c r="F660" s="46" t="s">
        <v>2546</v>
      </c>
    </row>
    <row r="661" spans="1:6" ht="108">
      <c r="A661" s="47">
        <v>85886</v>
      </c>
      <c r="B661" s="46" t="s">
        <v>2548</v>
      </c>
      <c r="C661" s="46" t="s">
        <v>2555</v>
      </c>
      <c r="D661" s="47" t="s">
        <v>14</v>
      </c>
      <c r="E661" s="46" t="s">
        <v>2547</v>
      </c>
      <c r="F661" s="46" t="s">
        <v>2553</v>
      </c>
    </row>
    <row r="662" spans="1:6" ht="120">
      <c r="A662" s="47">
        <v>88679</v>
      </c>
      <c r="B662" s="46" t="s">
        <v>2550</v>
      </c>
      <c r="C662" s="46" t="s">
        <v>2549</v>
      </c>
      <c r="D662" s="47" t="s">
        <v>14</v>
      </c>
      <c r="E662" s="46" t="s">
        <v>2551</v>
      </c>
      <c r="F662" s="46" t="s">
        <v>2552</v>
      </c>
    </row>
    <row r="663" spans="1:6" ht="108">
      <c r="A663" s="47">
        <v>84363</v>
      </c>
      <c r="B663" s="46" t="s">
        <v>2554</v>
      </c>
      <c r="C663" s="46" t="s">
        <v>2556</v>
      </c>
      <c r="D663" s="47" t="s">
        <v>660</v>
      </c>
      <c r="E663" s="46" t="s">
        <v>2557</v>
      </c>
      <c r="F663" s="46" t="s">
        <v>2553</v>
      </c>
    </row>
    <row r="664" spans="1:6" ht="108">
      <c r="A664" s="47">
        <v>84672</v>
      </c>
      <c r="B664" s="46" t="s">
        <v>2558</v>
      </c>
      <c r="C664" s="46" t="s">
        <v>2556</v>
      </c>
      <c r="D664" s="47" t="s">
        <v>12</v>
      </c>
      <c r="E664" s="46" t="s">
        <v>2559</v>
      </c>
      <c r="F664" s="46" t="s">
        <v>2553</v>
      </c>
    </row>
    <row r="665" spans="1:6" ht="108">
      <c r="A665" s="47">
        <v>85299</v>
      </c>
      <c r="B665" s="46" t="s">
        <v>2560</v>
      </c>
      <c r="C665" s="46" t="s">
        <v>2556</v>
      </c>
      <c r="D665" s="47" t="s">
        <v>660</v>
      </c>
      <c r="E665" s="46" t="s">
        <v>2561</v>
      </c>
      <c r="F665" s="46" t="s">
        <v>2553</v>
      </c>
    </row>
    <row r="666" spans="1:6" ht="108">
      <c r="A666" s="47">
        <v>86300</v>
      </c>
      <c r="B666" s="46" t="s">
        <v>2562</v>
      </c>
      <c r="C666" s="46" t="s">
        <v>2556</v>
      </c>
      <c r="D666" s="47" t="s">
        <v>660</v>
      </c>
      <c r="E666" s="46" t="s">
        <v>2563</v>
      </c>
      <c r="F666" s="46" t="s">
        <v>2553</v>
      </c>
    </row>
    <row r="667" spans="1:6" ht="108">
      <c r="A667" s="47">
        <v>88693</v>
      </c>
      <c r="B667" s="46" t="s">
        <v>2564</v>
      </c>
      <c r="C667" s="46" t="s">
        <v>2556</v>
      </c>
      <c r="D667" s="47" t="s">
        <v>14</v>
      </c>
      <c r="E667" s="46" t="s">
        <v>2565</v>
      </c>
      <c r="F667" s="46" t="s">
        <v>2553</v>
      </c>
    </row>
    <row r="668" spans="1:6" ht="108">
      <c r="A668" s="47">
        <v>90007</v>
      </c>
      <c r="B668" s="46" t="s">
        <v>2566</v>
      </c>
      <c r="C668" s="46" t="s">
        <v>2556</v>
      </c>
      <c r="D668" s="47" t="s">
        <v>14</v>
      </c>
      <c r="E668" s="46" t="s">
        <v>2567</v>
      </c>
      <c r="F668" s="46" t="s">
        <v>2553</v>
      </c>
    </row>
    <row r="669" spans="1:6" ht="108">
      <c r="A669" s="47">
        <v>90360</v>
      </c>
      <c r="B669" s="46" t="s">
        <v>2568</v>
      </c>
      <c r="C669" s="46" t="s">
        <v>2556</v>
      </c>
      <c r="D669" s="47" t="s">
        <v>14</v>
      </c>
      <c r="E669" s="46" t="s">
        <v>2569</v>
      </c>
      <c r="F669" s="46" t="s">
        <v>2553</v>
      </c>
    </row>
    <row r="670" spans="1:6" ht="108">
      <c r="A670" s="47">
        <v>90920</v>
      </c>
      <c r="B670" s="46" t="s">
        <v>2570</v>
      </c>
      <c r="C670" s="46" t="s">
        <v>2556</v>
      </c>
      <c r="D670" s="47" t="s">
        <v>660</v>
      </c>
      <c r="E670" s="46" t="s">
        <v>2571</v>
      </c>
      <c r="F670" s="46" t="s">
        <v>2553</v>
      </c>
    </row>
    <row r="671" spans="1:6" ht="96">
      <c r="A671" s="47">
        <v>56162</v>
      </c>
      <c r="B671" s="46" t="s">
        <v>2576</v>
      </c>
      <c r="C671" s="46" t="s">
        <v>2573</v>
      </c>
      <c r="D671" s="47" t="s">
        <v>12</v>
      </c>
      <c r="E671" s="46" t="s">
        <v>2572</v>
      </c>
      <c r="F671" s="46" t="s">
        <v>2574</v>
      </c>
    </row>
    <row r="672" spans="1:6" ht="84">
      <c r="A672" s="47">
        <v>57460</v>
      </c>
      <c r="B672" s="46" t="s">
        <v>2575</v>
      </c>
      <c r="C672" s="46" t="s">
        <v>2578</v>
      </c>
      <c r="D672" s="47" t="s">
        <v>12</v>
      </c>
      <c r="E672" s="46" t="s">
        <v>2577</v>
      </c>
      <c r="F672" s="46" t="s">
        <v>2579</v>
      </c>
    </row>
    <row r="673" spans="1:6" ht="96">
      <c r="A673" s="47">
        <v>58565</v>
      </c>
      <c r="B673" s="46" t="s">
        <v>2583</v>
      </c>
      <c r="C673" s="46" t="s">
        <v>2580</v>
      </c>
      <c r="D673" s="47" t="s">
        <v>12</v>
      </c>
      <c r="E673" s="46" t="s">
        <v>2581</v>
      </c>
      <c r="F673" s="46" t="s">
        <v>2582</v>
      </c>
    </row>
    <row r="674" spans="1:6" ht="120">
      <c r="A674" s="47">
        <v>58800</v>
      </c>
      <c r="B674" s="46" t="s">
        <v>2585</v>
      </c>
      <c r="C674" s="46" t="s">
        <v>2584</v>
      </c>
      <c r="D674" s="47" t="s">
        <v>660</v>
      </c>
      <c r="E674" s="46" t="s">
        <v>2586</v>
      </c>
      <c r="F674" s="46" t="s">
        <v>2582</v>
      </c>
    </row>
    <row r="675" spans="1:6" ht="120">
      <c r="A675" s="47">
        <v>59077</v>
      </c>
      <c r="B675" s="46" t="s">
        <v>2588</v>
      </c>
      <c r="C675" s="46" t="s">
        <v>2587</v>
      </c>
      <c r="D675" s="47" t="s">
        <v>12</v>
      </c>
      <c r="E675" s="46" t="s">
        <v>2589</v>
      </c>
      <c r="F675" s="46" t="s">
        <v>2582</v>
      </c>
    </row>
    <row r="676" spans="1:6" ht="96">
      <c r="A676" s="47">
        <v>64533</v>
      </c>
      <c r="B676" s="46" t="s">
        <v>2591</v>
      </c>
      <c r="C676" s="46" t="s">
        <v>2590</v>
      </c>
      <c r="D676" s="47" t="s">
        <v>12</v>
      </c>
      <c r="E676" s="46" t="s">
        <v>2592</v>
      </c>
      <c r="F676" s="46" t="s">
        <v>2593</v>
      </c>
    </row>
    <row r="677" spans="1:6" ht="96">
      <c r="A677" s="47">
        <v>71856</v>
      </c>
      <c r="B677" s="46" t="s">
        <v>2597</v>
      </c>
      <c r="C677" s="46" t="s">
        <v>2594</v>
      </c>
      <c r="D677" s="47" t="s">
        <v>12</v>
      </c>
      <c r="E677" s="46" t="s">
        <v>2595</v>
      </c>
      <c r="F677" s="46" t="s">
        <v>2596</v>
      </c>
    </row>
    <row r="678" spans="1:6" ht="120">
      <c r="A678" s="47">
        <v>73403</v>
      </c>
      <c r="B678" s="46" t="s">
        <v>2601</v>
      </c>
      <c r="C678" s="46" t="s">
        <v>2598</v>
      </c>
      <c r="D678" s="47" t="s">
        <v>660</v>
      </c>
      <c r="E678" s="46" t="s">
        <v>2599</v>
      </c>
      <c r="F678" s="46" t="s">
        <v>2600</v>
      </c>
    </row>
    <row r="679" spans="1:6" ht="120">
      <c r="A679" s="47">
        <v>77087</v>
      </c>
      <c r="B679" s="46" t="s">
        <v>2604</v>
      </c>
      <c r="C679" s="46" t="s">
        <v>2602</v>
      </c>
      <c r="D679" s="47" t="s">
        <v>660</v>
      </c>
      <c r="E679" s="46" t="s">
        <v>2603</v>
      </c>
      <c r="F679" s="46" t="s">
        <v>2609</v>
      </c>
    </row>
    <row r="680" spans="1:6" ht="96">
      <c r="A680" s="47">
        <v>78553</v>
      </c>
      <c r="B680" s="46" t="s">
        <v>2605</v>
      </c>
      <c r="C680" s="46" t="s">
        <v>2606</v>
      </c>
      <c r="D680" s="47" t="s">
        <v>12</v>
      </c>
      <c r="E680" s="46" t="s">
        <v>2607</v>
      </c>
      <c r="F680" s="46" t="s">
        <v>2608</v>
      </c>
    </row>
    <row r="681" spans="1:6" ht="120">
      <c r="A681" s="47">
        <v>80567</v>
      </c>
      <c r="B681" s="46" t="s">
        <v>2611</v>
      </c>
      <c r="C681" s="46" t="s">
        <v>2610</v>
      </c>
      <c r="D681" s="47" t="s">
        <v>12</v>
      </c>
      <c r="E681" s="46" t="s">
        <v>2612</v>
      </c>
      <c r="F681" s="46" t="s">
        <v>2613</v>
      </c>
    </row>
    <row r="682" spans="1:6" ht="144">
      <c r="A682" s="47">
        <v>82031</v>
      </c>
      <c r="B682" s="46" t="s">
        <v>2615</v>
      </c>
      <c r="C682" s="46" t="s">
        <v>2614</v>
      </c>
      <c r="D682" s="47" t="s">
        <v>12</v>
      </c>
      <c r="E682" s="46" t="s">
        <v>2616</v>
      </c>
      <c r="F682" s="46" t="s">
        <v>2617</v>
      </c>
    </row>
    <row r="683" spans="1:6" ht="144">
      <c r="A683" s="47">
        <v>84152</v>
      </c>
      <c r="B683" s="46" t="s">
        <v>2621</v>
      </c>
      <c r="C683" s="46" t="s">
        <v>2618</v>
      </c>
      <c r="D683" s="47" t="s">
        <v>12</v>
      </c>
      <c r="E683" s="46" t="s">
        <v>2619</v>
      </c>
      <c r="F683" s="46" t="s">
        <v>2620</v>
      </c>
    </row>
    <row r="684" spans="1:6" ht="120">
      <c r="A684" s="47">
        <v>87220</v>
      </c>
      <c r="B684" s="46" t="s">
        <v>2622</v>
      </c>
      <c r="C684" s="46" t="s">
        <v>2624</v>
      </c>
      <c r="D684" s="47" t="s">
        <v>12</v>
      </c>
      <c r="E684" s="46" t="s">
        <v>2623</v>
      </c>
      <c r="F684" s="46" t="s">
        <v>2625</v>
      </c>
    </row>
    <row r="685" spans="1:6" ht="96">
      <c r="A685" s="47">
        <v>55883</v>
      </c>
      <c r="B685" s="46" t="s">
        <v>2626</v>
      </c>
      <c r="C685" s="46" t="s">
        <v>2627</v>
      </c>
      <c r="D685" s="47" t="s">
        <v>14</v>
      </c>
      <c r="E685" s="46" t="s">
        <v>2628</v>
      </c>
      <c r="F685" s="46" t="s">
        <v>2629</v>
      </c>
    </row>
    <row r="686" spans="1:6" ht="96">
      <c r="A686" s="47">
        <v>15753</v>
      </c>
      <c r="B686" s="46" t="s">
        <v>2630</v>
      </c>
      <c r="C686" s="46" t="s">
        <v>2631</v>
      </c>
      <c r="D686" s="47" t="s">
        <v>12</v>
      </c>
      <c r="E686" s="46" t="s">
        <v>2632</v>
      </c>
      <c r="F686" s="46" t="s">
        <v>2633</v>
      </c>
    </row>
    <row r="687" spans="1:6" ht="108">
      <c r="A687" s="47">
        <v>87011</v>
      </c>
      <c r="B687" s="46" t="s">
        <v>2634</v>
      </c>
      <c r="C687" s="46" t="s">
        <v>2635</v>
      </c>
      <c r="D687" s="47" t="s">
        <v>14</v>
      </c>
      <c r="E687" s="46" t="s">
        <v>2636</v>
      </c>
      <c r="F687" s="46" t="s">
        <v>2637</v>
      </c>
    </row>
    <row r="688" spans="1:6" ht="144">
      <c r="A688" s="47">
        <v>86122</v>
      </c>
      <c r="B688" s="46" t="s">
        <v>2638</v>
      </c>
      <c r="C688" s="46" t="s">
        <v>2639</v>
      </c>
      <c r="D688" s="47" t="s">
        <v>13</v>
      </c>
      <c r="E688" s="46" t="s">
        <v>2640</v>
      </c>
      <c r="F688" s="46" t="s">
        <v>2641</v>
      </c>
    </row>
    <row r="689" spans="1:6" ht="48">
      <c r="A689" s="52">
        <v>90999</v>
      </c>
      <c r="B689" s="52" t="s">
        <v>2642</v>
      </c>
      <c r="C689" s="51" t="s">
        <v>2643</v>
      </c>
      <c r="D689" s="52" t="s">
        <v>14</v>
      </c>
      <c r="E689" s="51" t="s">
        <v>2644</v>
      </c>
      <c r="F689" s="51" t="s">
        <v>2645</v>
      </c>
    </row>
    <row r="690" spans="1:6" ht="72">
      <c r="A690" s="52">
        <v>90510</v>
      </c>
      <c r="B690" s="52" t="s">
        <v>2646</v>
      </c>
      <c r="C690" s="51" t="s">
        <v>2647</v>
      </c>
      <c r="D690" s="52" t="s">
        <v>12</v>
      </c>
      <c r="E690" s="51" t="s">
        <v>2648</v>
      </c>
      <c r="F690" s="51" t="s">
        <v>2649</v>
      </c>
    </row>
    <row r="691" spans="1:6" ht="36">
      <c r="A691" s="52">
        <v>90317</v>
      </c>
      <c r="B691" s="52" t="s">
        <v>2650</v>
      </c>
      <c r="C691" s="51" t="s">
        <v>2651</v>
      </c>
      <c r="D691" s="52" t="s">
        <v>12</v>
      </c>
      <c r="E691" s="51" t="s">
        <v>2652</v>
      </c>
      <c r="F691" s="51" t="s">
        <v>2653</v>
      </c>
    </row>
    <row r="692" spans="1:6" ht="48">
      <c r="A692" s="52">
        <v>91947</v>
      </c>
      <c r="B692" s="52" t="s">
        <v>2654</v>
      </c>
      <c r="C692" s="51" t="s">
        <v>2655</v>
      </c>
      <c r="D692" s="52" t="s">
        <v>14</v>
      </c>
      <c r="E692" s="51" t="s">
        <v>2656</v>
      </c>
      <c r="F692" s="51" t="s">
        <v>2657</v>
      </c>
    </row>
    <row r="693" spans="1:6" ht="48">
      <c r="A693" s="52">
        <v>87942</v>
      </c>
      <c r="B693" s="52" t="s">
        <v>2658</v>
      </c>
      <c r="C693" s="51" t="s">
        <v>2659</v>
      </c>
      <c r="D693" s="52" t="s">
        <v>12</v>
      </c>
      <c r="E693" s="51" t="s">
        <v>2660</v>
      </c>
      <c r="F693" s="51" t="s">
        <v>2661</v>
      </c>
    </row>
    <row r="694" spans="1:6" ht="84">
      <c r="A694" s="52">
        <v>88906</v>
      </c>
      <c r="B694" s="52" t="s">
        <v>2662</v>
      </c>
      <c r="C694" s="51" t="s">
        <v>2663</v>
      </c>
      <c r="D694" s="52" t="s">
        <v>14</v>
      </c>
      <c r="E694" s="51" t="s">
        <v>2664</v>
      </c>
      <c r="F694" s="51" t="s">
        <v>2665</v>
      </c>
    </row>
    <row r="695" spans="1:6" ht="36">
      <c r="A695" s="52">
        <v>39364</v>
      </c>
      <c r="B695" s="52" t="s">
        <v>2666</v>
      </c>
      <c r="C695" s="51" t="s">
        <v>2667</v>
      </c>
      <c r="D695" s="52" t="s">
        <v>14</v>
      </c>
      <c r="E695" s="51" t="s">
        <v>2668</v>
      </c>
      <c r="F695" s="51" t="s">
        <v>2669</v>
      </c>
    </row>
    <row r="696" spans="1:6" ht="36">
      <c r="A696" s="52">
        <v>68931</v>
      </c>
      <c r="B696" s="52" t="s">
        <v>2670</v>
      </c>
      <c r="C696" s="51" t="s">
        <v>2671</v>
      </c>
      <c r="D696" s="52" t="s">
        <v>14</v>
      </c>
      <c r="E696" s="51" t="s">
        <v>2672</v>
      </c>
      <c r="F696" s="51" t="s">
        <v>2673</v>
      </c>
    </row>
    <row r="697" spans="1:6" ht="60">
      <c r="A697" s="52">
        <v>86947</v>
      </c>
      <c r="B697" s="52" t="s">
        <v>2674</v>
      </c>
      <c r="C697" s="51" t="s">
        <v>2675</v>
      </c>
      <c r="D697" s="52" t="s">
        <v>14</v>
      </c>
      <c r="E697" s="51" t="s">
        <v>2676</v>
      </c>
      <c r="F697" s="51" t="s">
        <v>2677</v>
      </c>
    </row>
    <row r="698" spans="1:6" ht="228">
      <c r="A698" s="52">
        <v>87676</v>
      </c>
      <c r="B698" s="52" t="s">
        <v>2678</v>
      </c>
      <c r="C698" s="51" t="s">
        <v>2679</v>
      </c>
      <c r="D698" s="52" t="s">
        <v>13</v>
      </c>
      <c r="E698" s="51" t="s">
        <v>2680</v>
      </c>
      <c r="F698" s="51" t="s">
        <v>2681</v>
      </c>
    </row>
    <row r="699" spans="1:6" ht="312">
      <c r="A699" s="52">
        <v>87678</v>
      </c>
      <c r="B699" s="52" t="s">
        <v>2682</v>
      </c>
      <c r="C699" s="51" t="s">
        <v>2683</v>
      </c>
      <c r="D699" s="52" t="s">
        <v>12</v>
      </c>
      <c r="E699" s="51" t="s">
        <v>2684</v>
      </c>
      <c r="F699" s="51" t="s">
        <v>2685</v>
      </c>
    </row>
    <row r="700" spans="1:6" ht="144">
      <c r="A700" s="52">
        <v>87679</v>
      </c>
      <c r="B700" s="52" t="s">
        <v>2686</v>
      </c>
      <c r="C700" s="51" t="s">
        <v>2687</v>
      </c>
      <c r="D700" s="52" t="s">
        <v>12</v>
      </c>
      <c r="E700" s="51" t="s">
        <v>2688</v>
      </c>
      <c r="F700" s="51" t="s">
        <v>2689</v>
      </c>
    </row>
    <row r="701" spans="1:6" ht="156">
      <c r="A701" s="52">
        <v>87592</v>
      </c>
      <c r="B701" s="52" t="s">
        <v>2690</v>
      </c>
      <c r="C701" s="51" t="s">
        <v>2691</v>
      </c>
      <c r="D701" s="52" t="s">
        <v>12</v>
      </c>
      <c r="E701" s="51" t="s">
        <v>2692</v>
      </c>
      <c r="F701" s="51" t="s">
        <v>2693</v>
      </c>
    </row>
    <row r="702" spans="1:6" ht="84">
      <c r="A702" s="52">
        <v>91322</v>
      </c>
      <c r="B702" s="52" t="s">
        <v>2694</v>
      </c>
      <c r="C702" s="51" t="s">
        <v>2695</v>
      </c>
      <c r="D702" s="52" t="s">
        <v>14</v>
      </c>
      <c r="E702" s="51" t="s">
        <v>2696</v>
      </c>
      <c r="F702" s="51" t="s">
        <v>2697</v>
      </c>
    </row>
    <row r="703" spans="1:6" ht="48">
      <c r="A703" s="52">
        <v>91713</v>
      </c>
      <c r="B703" s="52" t="s">
        <v>2698</v>
      </c>
      <c r="C703" s="51" t="s">
        <v>2699</v>
      </c>
      <c r="D703" s="52" t="s">
        <v>12</v>
      </c>
      <c r="E703" s="51" t="s">
        <v>2700</v>
      </c>
      <c r="F703" s="51" t="s">
        <v>2701</v>
      </c>
    </row>
    <row r="704" spans="1:6" ht="67.5">
      <c r="A704" s="53">
        <v>90318</v>
      </c>
      <c r="B704" s="53" t="s">
        <v>2702</v>
      </c>
      <c r="C704" s="53" t="s">
        <v>2703</v>
      </c>
      <c r="D704" s="53" t="s">
        <v>12</v>
      </c>
      <c r="E704" s="54" t="s">
        <v>2704</v>
      </c>
      <c r="F704" s="53" t="s">
        <v>2705</v>
      </c>
    </row>
    <row r="705" spans="1:6" ht="409.5">
      <c r="A705" s="53">
        <v>82025</v>
      </c>
      <c r="B705" s="53" t="s">
        <v>2706</v>
      </c>
      <c r="C705" s="53" t="s">
        <v>2707</v>
      </c>
      <c r="D705" s="53" t="s">
        <v>13</v>
      </c>
      <c r="E705" s="54" t="s">
        <v>2708</v>
      </c>
      <c r="F705" s="54" t="s">
        <v>2709</v>
      </c>
    </row>
    <row r="706" spans="1:6" ht="409.5">
      <c r="A706" s="53">
        <v>83033</v>
      </c>
      <c r="B706" s="53" t="s">
        <v>2710</v>
      </c>
      <c r="C706" s="53" t="s">
        <v>2711</v>
      </c>
      <c r="D706" s="53" t="s">
        <v>13</v>
      </c>
      <c r="E706" s="54" t="s">
        <v>2712</v>
      </c>
      <c r="F706" s="53" t="s">
        <v>2713</v>
      </c>
    </row>
    <row r="707" spans="1:6" ht="189">
      <c r="A707" s="53">
        <v>83517</v>
      </c>
      <c r="B707" s="53" t="s">
        <v>2714</v>
      </c>
      <c r="C707" s="53" t="s">
        <v>2715</v>
      </c>
      <c r="D707" s="53" t="s">
        <v>13</v>
      </c>
      <c r="E707" s="54" t="s">
        <v>2716</v>
      </c>
      <c r="F707" s="53" t="s">
        <v>2717</v>
      </c>
    </row>
    <row r="708" spans="1:6" ht="229.5">
      <c r="A708" s="53">
        <v>84362</v>
      </c>
      <c r="B708" s="53" t="s">
        <v>2718</v>
      </c>
      <c r="C708" s="53" t="s">
        <v>2719</v>
      </c>
      <c r="D708" s="53" t="s">
        <v>13</v>
      </c>
      <c r="E708" s="54" t="s">
        <v>2720</v>
      </c>
      <c r="F708" s="53" t="s">
        <v>2721</v>
      </c>
    </row>
    <row r="709" spans="1:6" ht="135">
      <c r="A709" s="53">
        <v>84671</v>
      </c>
      <c r="B709" s="53" t="s">
        <v>2722</v>
      </c>
      <c r="C709" s="53" t="s">
        <v>2723</v>
      </c>
      <c r="D709" s="53" t="s">
        <v>12</v>
      </c>
      <c r="E709" s="54" t="s">
        <v>2724</v>
      </c>
      <c r="F709" s="53" t="s">
        <v>2725</v>
      </c>
    </row>
    <row r="710" spans="1:6" ht="148.5">
      <c r="A710" s="53">
        <v>85298</v>
      </c>
      <c r="B710" s="53" t="s">
        <v>2726</v>
      </c>
      <c r="C710" s="53" t="s">
        <v>2727</v>
      </c>
      <c r="D710" s="53" t="s">
        <v>13</v>
      </c>
      <c r="E710" s="54" t="s">
        <v>2728</v>
      </c>
      <c r="F710" s="53" t="s">
        <v>2729</v>
      </c>
    </row>
    <row r="711" spans="1:6" ht="94.5">
      <c r="A711" s="53">
        <v>85885</v>
      </c>
      <c r="B711" s="53" t="s">
        <v>2730</v>
      </c>
      <c r="C711" s="53" t="s">
        <v>2731</v>
      </c>
      <c r="D711" s="53" t="s">
        <v>14</v>
      </c>
      <c r="E711" s="54" t="s">
        <v>2732</v>
      </c>
      <c r="F711" s="53" t="s">
        <v>2733</v>
      </c>
    </row>
    <row r="712" spans="1:6" ht="409.5">
      <c r="A712" s="53">
        <v>84153</v>
      </c>
      <c r="B712" s="53" t="s">
        <v>2734</v>
      </c>
      <c r="C712" s="53" t="s">
        <v>2735</v>
      </c>
      <c r="D712" s="53" t="s">
        <v>12</v>
      </c>
      <c r="E712" s="54" t="s">
        <v>2736</v>
      </c>
      <c r="F712" s="53" t="s">
        <v>2737</v>
      </c>
    </row>
    <row r="713" spans="1:6" ht="229.5">
      <c r="A713" s="53">
        <v>84636</v>
      </c>
      <c r="B713" s="53" t="s">
        <v>2738</v>
      </c>
      <c r="C713" s="53" t="s">
        <v>2739</v>
      </c>
      <c r="D713" s="53" t="s">
        <v>12</v>
      </c>
      <c r="E713" s="54" t="s">
        <v>2740</v>
      </c>
      <c r="F713" s="53" t="s">
        <v>2741</v>
      </c>
    </row>
    <row r="714" spans="1:6" ht="216">
      <c r="A714" s="53">
        <v>87221</v>
      </c>
      <c r="B714" s="53" t="s">
        <v>2742</v>
      </c>
      <c r="C714" s="53" t="s">
        <v>2743</v>
      </c>
      <c r="D714" s="53" t="s">
        <v>12</v>
      </c>
      <c r="E714" s="54" t="s">
        <v>2744</v>
      </c>
      <c r="F714" s="53" t="s">
        <v>2745</v>
      </c>
    </row>
    <row r="715" spans="1:6" ht="310.5">
      <c r="A715" s="53">
        <v>88529</v>
      </c>
      <c r="B715" s="53" t="s">
        <v>2746</v>
      </c>
      <c r="C715" s="53" t="s">
        <v>2747</v>
      </c>
      <c r="D715" s="53" t="s">
        <v>12</v>
      </c>
      <c r="E715" s="54" t="s">
        <v>2748</v>
      </c>
      <c r="F715" s="53" t="s">
        <v>2749</v>
      </c>
    </row>
    <row r="716" spans="1:6" ht="409.5">
      <c r="A716" s="53">
        <v>89081</v>
      </c>
      <c r="B716" s="53" t="s">
        <v>2750</v>
      </c>
      <c r="C716" s="53" t="s">
        <v>2751</v>
      </c>
      <c r="D716" s="53" t="s">
        <v>13</v>
      </c>
      <c r="E716" s="54" t="s">
        <v>2752</v>
      </c>
      <c r="F716" s="53" t="s">
        <v>2753</v>
      </c>
    </row>
    <row r="717" spans="1:6" ht="94.5">
      <c r="A717" s="53">
        <v>90888</v>
      </c>
      <c r="B717" s="53" t="s">
        <v>2754</v>
      </c>
      <c r="C717" s="53" t="s">
        <v>2755</v>
      </c>
      <c r="D717" s="53" t="s">
        <v>14</v>
      </c>
      <c r="E717" s="54" t="s">
        <v>2756</v>
      </c>
      <c r="F717" s="53" t="s">
        <v>2757</v>
      </c>
    </row>
    <row r="718" spans="1:6" ht="67.5">
      <c r="A718" s="53">
        <v>90890</v>
      </c>
      <c r="B718" s="53" t="s">
        <v>2758</v>
      </c>
      <c r="C718" s="53" t="s">
        <v>2759</v>
      </c>
      <c r="D718" s="53" t="s">
        <v>12</v>
      </c>
      <c r="E718" s="54" t="s">
        <v>2760</v>
      </c>
      <c r="F718" s="53" t="s">
        <v>2761</v>
      </c>
    </row>
    <row r="719" spans="1:6" ht="94.5">
      <c r="A719" s="53">
        <v>91441</v>
      </c>
      <c r="B719" s="53" t="s">
        <v>2762</v>
      </c>
      <c r="C719" s="53" t="s">
        <v>2763</v>
      </c>
      <c r="D719" s="53" t="s">
        <v>14</v>
      </c>
      <c r="E719" s="54" t="s">
        <v>2764</v>
      </c>
      <c r="F719" s="53" t="s">
        <v>2765</v>
      </c>
    </row>
    <row r="720" spans="1:6" ht="378">
      <c r="A720" s="53">
        <v>91897</v>
      </c>
      <c r="B720" s="53" t="s">
        <v>2766</v>
      </c>
      <c r="C720" s="53" t="s">
        <v>2767</v>
      </c>
      <c r="D720" s="53" t="s">
        <v>14</v>
      </c>
      <c r="E720" s="54" t="s">
        <v>2768</v>
      </c>
      <c r="F720" s="53" t="s">
        <v>2769</v>
      </c>
    </row>
  </sheetData>
  <autoFilter ref="C1:F69"/>
  <sortState ref="A2:G176">
    <sortCondition ref="A2:A176"/>
  </sortState>
  <phoneticPr fontId="3" type="noConversion"/>
  <conditionalFormatting sqref="H1:XFD1 K400:XFD408 G531:XFD536 K410:XFD530 K2:XFD378 G538:XFD539 K537:XFD537 G541:XFD1048576">
    <cfRule type="cellIs" dxfId="566" priority="1817" operator="equal">
      <formula>#REF!</formula>
    </cfRule>
    <cfRule type="cellIs" dxfId="565" priority="1818" operator="equal">
      <formula>#REF!</formula>
    </cfRule>
  </conditionalFormatting>
  <conditionalFormatting sqref="K20:XFD21 K59:XFD59 K7:XFD12">
    <cfRule type="cellIs" dxfId="564" priority="1813" operator="equal">
      <formula>#REF!</formula>
    </cfRule>
    <cfRule type="cellIs" dxfId="563" priority="1814" operator="equal">
      <formula>#REF!</formula>
    </cfRule>
  </conditionalFormatting>
  <conditionalFormatting sqref="K30:XFD30">
    <cfRule type="cellIs" dxfId="562" priority="1805" operator="equal">
      <formula>#REF!</formula>
    </cfRule>
    <cfRule type="cellIs" dxfId="561" priority="1806" operator="equal">
      <formula>#REF!</formula>
    </cfRule>
  </conditionalFormatting>
  <conditionalFormatting sqref="H1:XFD1">
    <cfRule type="cellIs" dxfId="560" priority="1795" operator="equal">
      <formula>#REF!</formula>
    </cfRule>
    <cfRule type="cellIs" dxfId="559" priority="1796" operator="equal">
      <formula>#REF!</formula>
    </cfRule>
  </conditionalFormatting>
  <conditionalFormatting sqref="D531:D532 D659 D663 D689:D1048576">
    <cfRule type="cellIs" dxfId="558" priority="1596" operator="equal">
      <formula>"紧急"</formula>
    </cfRule>
    <cfRule type="cellIs" dxfId="557" priority="1597" operator="equal">
      <formula>"高"</formula>
    </cfRule>
    <cfRule type="cellIs" dxfId="556" priority="1598" operator="equal">
      <formula>"中"</formula>
    </cfRule>
  </conditionalFormatting>
  <conditionalFormatting sqref="K379:XFD399">
    <cfRule type="cellIs" dxfId="555" priority="1522" operator="equal">
      <formula>#REF!</formula>
    </cfRule>
    <cfRule type="cellIs" dxfId="554" priority="1523" operator="equal">
      <formula>#REF!</formula>
    </cfRule>
  </conditionalFormatting>
  <conditionalFormatting sqref="K409:XFD409">
    <cfRule type="cellIs" dxfId="553" priority="1485" operator="equal">
      <formula>#REF!</formula>
    </cfRule>
    <cfRule type="cellIs" dxfId="552" priority="1486" operator="equal">
      <formula>#REF!</formula>
    </cfRule>
  </conditionalFormatting>
  <conditionalFormatting sqref="G1">
    <cfRule type="cellIs" dxfId="551" priority="1433" operator="equal">
      <formula>#REF!</formula>
    </cfRule>
    <cfRule type="cellIs" dxfId="550" priority="1434" operator="equal">
      <formula>#REF!</formula>
    </cfRule>
  </conditionalFormatting>
  <conditionalFormatting sqref="G1">
    <cfRule type="cellIs" dxfId="549" priority="1411" operator="equal">
      <formula>#REF!</formula>
    </cfRule>
    <cfRule type="cellIs" dxfId="548" priority="1412" operator="equal">
      <formula>#REF!</formula>
    </cfRule>
  </conditionalFormatting>
  <conditionalFormatting sqref="A1:B1 D1:F1">
    <cfRule type="cellIs" dxfId="547" priority="1034" operator="equal">
      <formula>#REF!</formula>
    </cfRule>
    <cfRule type="cellIs" dxfId="546" priority="1035" operator="equal">
      <formula>#REF!</formula>
    </cfRule>
  </conditionalFormatting>
  <conditionalFormatting sqref="A1:B1 D1:F1">
    <cfRule type="cellIs" dxfId="545" priority="1012" operator="equal">
      <formula>#REF!</formula>
    </cfRule>
    <cfRule type="cellIs" dxfId="544" priority="1013" operator="equal">
      <formula>#REF!</formula>
    </cfRule>
  </conditionalFormatting>
  <conditionalFormatting sqref="A1">
    <cfRule type="cellIs" dxfId="543" priority="1010" operator="equal">
      <formula>#REF!</formula>
    </cfRule>
    <cfRule type="cellIs" dxfId="542" priority="1011" operator="equal">
      <formula>#REF!</formula>
    </cfRule>
  </conditionalFormatting>
  <conditionalFormatting sqref="D1">
    <cfRule type="cellIs" dxfId="541" priority="813" operator="equal">
      <formula>"紧急"</formula>
    </cfRule>
    <cfRule type="cellIs" dxfId="540" priority="814" operator="equal">
      <formula>"高"</formula>
    </cfRule>
    <cfRule type="cellIs" dxfId="539" priority="815" operator="equal">
      <formula>"中"</formula>
    </cfRule>
  </conditionalFormatting>
  <conditionalFormatting sqref="A1">
    <cfRule type="duplicateValues" dxfId="538" priority="1037"/>
  </conditionalFormatting>
  <conditionalFormatting sqref="A1">
    <cfRule type="duplicateValues" dxfId="537" priority="1038"/>
  </conditionalFormatting>
  <conditionalFormatting sqref="A144:B144 A12:B12 G11:J13 A58:B66 D121:E121 D122 E138:F139 B135:B143 D2:J10 E15:J15 A14:B34 A70:B75 A78:B95 A116:B118 E116:F119 A120:A124 E123:F123 D124:F124 B119:B133 A130:A132 G95:J378 A327:B363 A97:B111 B364:B378 G400:J408 G410:J505 G512:J517 H506:J508 H511:J511 H518:J530 D96:F114 D327:F378 D116:D118 D126:E126 D16:J94 D14:J14 D12:F12 D140:F144">
    <cfRule type="cellIs" dxfId="536" priority="591" operator="equal">
      <formula>#REF!</formula>
    </cfRule>
    <cfRule type="cellIs" dxfId="535" priority="592" operator="equal">
      <formula>#REF!</formula>
    </cfRule>
  </conditionalFormatting>
  <conditionalFormatting sqref="E22 A36:B45 A112:B114">
    <cfRule type="cellIs" dxfId="534" priority="589" operator="equal">
      <formula>#REF!</formula>
    </cfRule>
    <cfRule type="cellIs" dxfId="533" priority="590" operator="equal">
      <formula>#REF!</formula>
    </cfRule>
  </conditionalFormatting>
  <conditionalFormatting sqref="F20 G20:J21 D59:J59 F7:F10 G7:J12 F12">
    <cfRule type="cellIs" dxfId="532" priority="587" operator="equal">
      <formula>#REF!</formula>
    </cfRule>
    <cfRule type="cellIs" dxfId="531" priority="588" operator="equal">
      <formula>#REF!</formula>
    </cfRule>
  </conditionalFormatting>
  <conditionalFormatting sqref="F15:F19 D20:D21">
    <cfRule type="cellIs" dxfId="530" priority="585" operator="equal">
      <formula>#REF!</formula>
    </cfRule>
    <cfRule type="cellIs" dxfId="529" priority="586" operator="equal">
      <formula>#REF!</formula>
    </cfRule>
  </conditionalFormatting>
  <conditionalFormatting sqref="E20:E21">
    <cfRule type="cellIs" dxfId="528" priority="583" operator="equal">
      <formula>#REF!</formula>
    </cfRule>
    <cfRule type="cellIs" dxfId="527" priority="584" operator="equal">
      <formula>#REF!</formula>
    </cfRule>
  </conditionalFormatting>
  <conditionalFormatting sqref="D30:J30">
    <cfRule type="cellIs" dxfId="526" priority="579" operator="equal">
      <formula>#REF!</formula>
    </cfRule>
    <cfRule type="cellIs" dxfId="525" priority="580" operator="equal">
      <formula>#REF!</formula>
    </cfRule>
  </conditionalFormatting>
  <conditionalFormatting sqref="D24">
    <cfRule type="cellIs" dxfId="524" priority="577" operator="equal">
      <formula>#REF!</formula>
    </cfRule>
    <cfRule type="cellIs" dxfId="523" priority="578" operator="equal">
      <formula>#REF!</formula>
    </cfRule>
  </conditionalFormatting>
  <conditionalFormatting sqref="E7:E10 E12">
    <cfRule type="cellIs" dxfId="522" priority="573" operator="equal">
      <formula>#REF!</formula>
    </cfRule>
    <cfRule type="cellIs" dxfId="521" priority="574" operator="equal">
      <formula>#REF!</formula>
    </cfRule>
  </conditionalFormatting>
  <conditionalFormatting sqref="F21">
    <cfRule type="cellIs" dxfId="520" priority="571" operator="equal">
      <formula>#REF!</formula>
    </cfRule>
    <cfRule type="cellIs" dxfId="519" priority="572" operator="equal">
      <formula>#REF!</formula>
    </cfRule>
  </conditionalFormatting>
  <conditionalFormatting sqref="D80:F83">
    <cfRule type="cellIs" dxfId="518" priority="569" operator="equal">
      <formula>#REF!</formula>
    </cfRule>
    <cfRule type="cellIs" dxfId="517" priority="570" operator="equal">
      <formula>#REF!</formula>
    </cfRule>
  </conditionalFormatting>
  <conditionalFormatting sqref="A80:A83 A3:B10">
    <cfRule type="cellIs" dxfId="516" priority="567" operator="equal">
      <formula>#REF!</formula>
    </cfRule>
    <cfRule type="cellIs" dxfId="515" priority="568" operator="equal">
      <formula>#REF!</formula>
    </cfRule>
  </conditionalFormatting>
  <conditionalFormatting sqref="A77 A48:B57">
    <cfRule type="cellIs" dxfId="514" priority="565" operator="equal">
      <formula>#REF!</formula>
    </cfRule>
    <cfRule type="cellIs" dxfId="513" priority="566" operator="equal">
      <formula>#REF!</formula>
    </cfRule>
  </conditionalFormatting>
  <conditionalFormatting sqref="A76:B76">
    <cfRule type="cellIs" dxfId="512" priority="563" operator="equal">
      <formula>#REF!</formula>
    </cfRule>
    <cfRule type="cellIs" dxfId="511" priority="564" operator="equal">
      <formula>#REF!</formula>
    </cfRule>
  </conditionalFormatting>
  <conditionalFormatting sqref="A67:B69">
    <cfRule type="cellIs" dxfId="510" priority="561" operator="equal">
      <formula>#REF!</formula>
    </cfRule>
    <cfRule type="cellIs" dxfId="509" priority="562" operator="equal">
      <formula>#REF!</formula>
    </cfRule>
  </conditionalFormatting>
  <conditionalFormatting sqref="A96:B96">
    <cfRule type="cellIs" dxfId="508" priority="559" operator="equal">
      <formula>#REF!</formula>
    </cfRule>
    <cfRule type="cellIs" dxfId="507" priority="560" operator="equal">
      <formula>#REF!</formula>
    </cfRule>
  </conditionalFormatting>
  <conditionalFormatting sqref="A2:B2">
    <cfRule type="cellIs" dxfId="506" priority="557" operator="equal">
      <formula>#REF!</formula>
    </cfRule>
    <cfRule type="cellIs" dxfId="505" priority="558" operator="equal">
      <formula>#REF!</formula>
    </cfRule>
  </conditionalFormatting>
  <conditionalFormatting sqref="A35:B35">
    <cfRule type="cellIs" dxfId="504" priority="555" operator="equal">
      <formula>#REF!</formula>
    </cfRule>
    <cfRule type="cellIs" dxfId="503" priority="556" operator="equal">
      <formula>#REF!</formula>
    </cfRule>
  </conditionalFormatting>
  <conditionalFormatting sqref="A46:B47">
    <cfRule type="cellIs" dxfId="502" priority="553" operator="equal">
      <formula>#REF!</formula>
    </cfRule>
    <cfRule type="cellIs" dxfId="501" priority="554" operator="equal">
      <formula>#REF!</formula>
    </cfRule>
  </conditionalFormatting>
  <conditionalFormatting sqref="F10">
    <cfRule type="cellIs" dxfId="500" priority="549" operator="equal">
      <formula>#REF!</formula>
    </cfRule>
    <cfRule type="cellIs" dxfId="499" priority="550" operator="equal">
      <formula>#REF!</formula>
    </cfRule>
  </conditionalFormatting>
  <conditionalFormatting sqref="A11:B11 D11:F11">
    <cfRule type="cellIs" dxfId="498" priority="547" operator="equal">
      <formula>#REF!</formula>
    </cfRule>
    <cfRule type="cellIs" dxfId="497" priority="548" operator="equal">
      <formula>#REF!</formula>
    </cfRule>
  </conditionalFormatting>
  <conditionalFormatting sqref="A11:B11 D11:F11">
    <cfRule type="cellIs" dxfId="496" priority="545" operator="equal">
      <formula>#REF!</formula>
    </cfRule>
    <cfRule type="cellIs" dxfId="495" priority="546" operator="equal">
      <formula>#REF!</formula>
    </cfRule>
  </conditionalFormatting>
  <conditionalFormatting sqref="A13:B13 D13:F13">
    <cfRule type="cellIs" dxfId="494" priority="543" operator="equal">
      <formula>#REF!</formula>
    </cfRule>
    <cfRule type="cellIs" dxfId="493" priority="544" operator="equal">
      <formula>#REF!</formula>
    </cfRule>
  </conditionalFormatting>
  <conditionalFormatting sqref="A13:B13 D13:F13">
    <cfRule type="cellIs" dxfId="492" priority="541" operator="equal">
      <formula>#REF!</formula>
    </cfRule>
    <cfRule type="cellIs" dxfId="491" priority="542" operator="equal">
      <formula>#REF!</formula>
    </cfRule>
  </conditionalFormatting>
  <conditionalFormatting sqref="A115:B115">
    <cfRule type="cellIs" dxfId="490" priority="539" operator="equal">
      <formula>#REF!</formula>
    </cfRule>
    <cfRule type="cellIs" dxfId="489" priority="540" operator="equal">
      <formula>#REF!</formula>
    </cfRule>
  </conditionalFormatting>
  <conditionalFormatting sqref="D115">
    <cfRule type="cellIs" dxfId="488" priority="535" operator="equal">
      <formula>#REF!</formula>
    </cfRule>
    <cfRule type="cellIs" dxfId="487" priority="536" operator="equal">
      <formula>#REF!</formula>
    </cfRule>
  </conditionalFormatting>
  <conditionalFormatting sqref="E115:F115">
    <cfRule type="cellIs" dxfId="486" priority="533" operator="equal">
      <formula>#REF!</formula>
    </cfRule>
    <cfRule type="cellIs" dxfId="485" priority="534" operator="equal">
      <formula>#REF!</formula>
    </cfRule>
  </conditionalFormatting>
  <conditionalFormatting sqref="A125:A128">
    <cfRule type="cellIs" dxfId="484" priority="531" operator="equal">
      <formula>#REF!</formula>
    </cfRule>
    <cfRule type="cellIs" dxfId="483" priority="532" operator="equal">
      <formula>#REF!</formula>
    </cfRule>
  </conditionalFormatting>
  <conditionalFormatting sqref="A129">
    <cfRule type="cellIs" dxfId="482" priority="529" operator="equal">
      <formula>#REF!</formula>
    </cfRule>
    <cfRule type="cellIs" dxfId="481" priority="530" operator="equal">
      <formula>#REF!</formula>
    </cfRule>
  </conditionalFormatting>
  <conditionalFormatting sqref="A133">
    <cfRule type="cellIs" dxfId="480" priority="527" operator="equal">
      <formula>#REF!</formula>
    </cfRule>
    <cfRule type="cellIs" dxfId="479" priority="528" operator="equal">
      <formula>#REF!</formula>
    </cfRule>
  </conditionalFormatting>
  <conditionalFormatting sqref="A119">
    <cfRule type="cellIs" dxfId="478" priority="525" operator="equal">
      <formula>#REF!</formula>
    </cfRule>
    <cfRule type="cellIs" dxfId="477" priority="526" operator="equal">
      <formula>#REF!</formula>
    </cfRule>
  </conditionalFormatting>
  <conditionalFormatting sqref="D119">
    <cfRule type="cellIs" dxfId="476" priority="523" operator="equal">
      <formula>#REF!</formula>
    </cfRule>
    <cfRule type="cellIs" dxfId="475" priority="524" operator="equal">
      <formula>#REF!</formula>
    </cfRule>
  </conditionalFormatting>
  <conditionalFormatting sqref="E119">
    <cfRule type="cellIs" dxfId="474" priority="521" operator="equal">
      <formula>#REF!</formula>
    </cfRule>
    <cfRule type="cellIs" dxfId="473" priority="522" operator="equal">
      <formula>#REF!</formula>
    </cfRule>
  </conditionalFormatting>
  <conditionalFormatting sqref="E120:F120">
    <cfRule type="cellIs" dxfId="472" priority="519" operator="equal">
      <formula>#REF!</formula>
    </cfRule>
    <cfRule type="cellIs" dxfId="471" priority="520" operator="equal">
      <formula>#REF!</formula>
    </cfRule>
  </conditionalFormatting>
  <conditionalFormatting sqref="E120">
    <cfRule type="cellIs" dxfId="470" priority="517" operator="equal">
      <formula>#REF!</formula>
    </cfRule>
    <cfRule type="cellIs" dxfId="469" priority="518" operator="equal">
      <formula>#REF!</formula>
    </cfRule>
  </conditionalFormatting>
  <conditionalFormatting sqref="D120">
    <cfRule type="cellIs" dxfId="468" priority="515" operator="equal">
      <formula>#REF!</formula>
    </cfRule>
    <cfRule type="cellIs" dxfId="467" priority="516" operator="equal">
      <formula>#REF!</formula>
    </cfRule>
  </conditionalFormatting>
  <conditionalFormatting sqref="F121">
    <cfRule type="cellIs" dxfId="466" priority="511" operator="equal">
      <formula>#REF!</formula>
    </cfRule>
    <cfRule type="cellIs" dxfId="465" priority="512" operator="equal">
      <formula>#REF!</formula>
    </cfRule>
  </conditionalFormatting>
  <conditionalFormatting sqref="E122:F122">
    <cfRule type="cellIs" dxfId="464" priority="507" operator="equal">
      <formula>#REF!</formula>
    </cfRule>
    <cfRule type="cellIs" dxfId="463" priority="508" operator="equal">
      <formula>#REF!</formula>
    </cfRule>
  </conditionalFormatting>
  <conditionalFormatting sqref="E122">
    <cfRule type="cellIs" dxfId="462" priority="505" operator="equal">
      <formula>#REF!</formula>
    </cfRule>
    <cfRule type="cellIs" dxfId="461" priority="506" operator="equal">
      <formula>#REF!</formula>
    </cfRule>
  </conditionalFormatting>
  <conditionalFormatting sqref="D123">
    <cfRule type="cellIs" dxfId="460" priority="503" operator="equal">
      <formula>#REF!</formula>
    </cfRule>
    <cfRule type="cellIs" dxfId="459" priority="504" operator="equal">
      <formula>#REF!</formula>
    </cfRule>
  </conditionalFormatting>
  <conditionalFormatting sqref="E125:F125">
    <cfRule type="cellIs" dxfId="458" priority="499" operator="equal">
      <formula>#REF!</formula>
    </cfRule>
    <cfRule type="cellIs" dxfId="457" priority="500" operator="equal">
      <formula>#REF!</formula>
    </cfRule>
  </conditionalFormatting>
  <conditionalFormatting sqref="E125">
    <cfRule type="cellIs" dxfId="456" priority="497" operator="equal">
      <formula>#REF!</formula>
    </cfRule>
    <cfRule type="cellIs" dxfId="455" priority="498" operator="equal">
      <formula>#REF!</formula>
    </cfRule>
  </conditionalFormatting>
  <conditionalFormatting sqref="D125">
    <cfRule type="cellIs" dxfId="454" priority="495" operator="equal">
      <formula>#REF!</formula>
    </cfRule>
    <cfRule type="cellIs" dxfId="453" priority="496" operator="equal">
      <formula>#REF!</formula>
    </cfRule>
  </conditionalFormatting>
  <conditionalFormatting sqref="F126">
    <cfRule type="cellIs" dxfId="452" priority="493" operator="equal">
      <formula>#REF!</formula>
    </cfRule>
    <cfRule type="cellIs" dxfId="451" priority="494" operator="equal">
      <formula>#REF!</formula>
    </cfRule>
  </conditionalFormatting>
  <conditionalFormatting sqref="E127:F127">
    <cfRule type="cellIs" dxfId="450" priority="489" operator="equal">
      <formula>#REF!</formula>
    </cfRule>
    <cfRule type="cellIs" dxfId="449" priority="490" operator="equal">
      <formula>#REF!</formula>
    </cfRule>
  </conditionalFormatting>
  <conditionalFormatting sqref="E127">
    <cfRule type="cellIs" dxfId="448" priority="487" operator="equal">
      <formula>#REF!</formula>
    </cfRule>
    <cfRule type="cellIs" dxfId="447" priority="488" operator="equal">
      <formula>#REF!</formula>
    </cfRule>
  </conditionalFormatting>
  <conditionalFormatting sqref="D127">
    <cfRule type="cellIs" dxfId="446" priority="485" operator="equal">
      <formula>#REF!</formula>
    </cfRule>
    <cfRule type="cellIs" dxfId="445" priority="486" operator="equal">
      <formula>#REF!</formula>
    </cfRule>
  </conditionalFormatting>
  <conditionalFormatting sqref="E128:F129">
    <cfRule type="cellIs" dxfId="444" priority="481" operator="equal">
      <formula>#REF!</formula>
    </cfRule>
    <cfRule type="cellIs" dxfId="443" priority="482" operator="equal">
      <formula>#REF!</formula>
    </cfRule>
  </conditionalFormatting>
  <conditionalFormatting sqref="E128:E129">
    <cfRule type="cellIs" dxfId="442" priority="479" operator="equal">
      <formula>#REF!</formula>
    </cfRule>
    <cfRule type="cellIs" dxfId="441" priority="480" operator="equal">
      <formula>#REF!</formula>
    </cfRule>
  </conditionalFormatting>
  <conditionalFormatting sqref="D128">
    <cfRule type="cellIs" dxfId="440" priority="477" operator="equal">
      <formula>#REF!</formula>
    </cfRule>
    <cfRule type="cellIs" dxfId="439" priority="478" operator="equal">
      <formula>#REF!</formula>
    </cfRule>
  </conditionalFormatting>
  <conditionalFormatting sqref="D129">
    <cfRule type="cellIs" dxfId="438" priority="475" operator="equal">
      <formula>#REF!</formula>
    </cfRule>
    <cfRule type="cellIs" dxfId="437" priority="476" operator="equal">
      <formula>#REF!</formula>
    </cfRule>
  </conditionalFormatting>
  <conditionalFormatting sqref="E130:F130">
    <cfRule type="cellIs" dxfId="436" priority="471" operator="equal">
      <formula>#REF!</formula>
    </cfRule>
    <cfRule type="cellIs" dxfId="435" priority="472" operator="equal">
      <formula>#REF!</formula>
    </cfRule>
  </conditionalFormatting>
  <conditionalFormatting sqref="E130">
    <cfRule type="cellIs" dxfId="434" priority="469" operator="equal">
      <formula>#REF!</formula>
    </cfRule>
    <cfRule type="cellIs" dxfId="433" priority="470" operator="equal">
      <formula>#REF!</formula>
    </cfRule>
  </conditionalFormatting>
  <conditionalFormatting sqref="D130">
    <cfRule type="cellIs" dxfId="432" priority="467" operator="equal">
      <formula>#REF!</formula>
    </cfRule>
    <cfRule type="cellIs" dxfId="431" priority="468" operator="equal">
      <formula>#REF!</formula>
    </cfRule>
  </conditionalFormatting>
  <conditionalFormatting sqref="E131:F131">
    <cfRule type="cellIs" dxfId="430" priority="463" operator="equal">
      <formula>#REF!</formula>
    </cfRule>
    <cfRule type="cellIs" dxfId="429" priority="464" operator="equal">
      <formula>#REF!</formula>
    </cfRule>
  </conditionalFormatting>
  <conditionalFormatting sqref="E131">
    <cfRule type="cellIs" dxfId="428" priority="461" operator="equal">
      <formula>#REF!</formula>
    </cfRule>
    <cfRule type="cellIs" dxfId="427" priority="462" operator="equal">
      <formula>#REF!</formula>
    </cfRule>
  </conditionalFormatting>
  <conditionalFormatting sqref="D131 D135">
    <cfRule type="cellIs" dxfId="426" priority="459" operator="equal">
      <formula>#REF!</formula>
    </cfRule>
    <cfRule type="cellIs" dxfId="425" priority="460" operator="equal">
      <formula>#REF!</formula>
    </cfRule>
  </conditionalFormatting>
  <conditionalFormatting sqref="E132:F132">
    <cfRule type="cellIs" dxfId="424" priority="455" operator="equal">
      <formula>#REF!</formula>
    </cfRule>
    <cfRule type="cellIs" dxfId="423" priority="456" operator="equal">
      <formula>#REF!</formula>
    </cfRule>
  </conditionalFormatting>
  <conditionalFormatting sqref="E132">
    <cfRule type="cellIs" dxfId="422" priority="453" operator="equal">
      <formula>#REF!</formula>
    </cfRule>
    <cfRule type="cellIs" dxfId="421" priority="454" operator="equal">
      <formula>#REF!</formula>
    </cfRule>
  </conditionalFormatting>
  <conditionalFormatting sqref="D132">
    <cfRule type="cellIs" dxfId="420" priority="451" operator="equal">
      <formula>#REF!</formula>
    </cfRule>
    <cfRule type="cellIs" dxfId="419" priority="452" operator="equal">
      <formula>#REF!</formula>
    </cfRule>
  </conditionalFormatting>
  <conditionalFormatting sqref="E133:F133">
    <cfRule type="cellIs" dxfId="418" priority="447" operator="equal">
      <formula>#REF!</formula>
    </cfRule>
    <cfRule type="cellIs" dxfId="417" priority="448" operator="equal">
      <formula>#REF!</formula>
    </cfRule>
  </conditionalFormatting>
  <conditionalFormatting sqref="E133">
    <cfRule type="cellIs" dxfId="416" priority="445" operator="equal">
      <formula>#REF!</formula>
    </cfRule>
    <cfRule type="cellIs" dxfId="415" priority="446" operator="equal">
      <formula>#REF!</formula>
    </cfRule>
  </conditionalFormatting>
  <conditionalFormatting sqref="D133">
    <cfRule type="cellIs" dxfId="414" priority="443" operator="equal">
      <formula>#REF!</formula>
    </cfRule>
    <cfRule type="cellIs" dxfId="413" priority="444" operator="equal">
      <formula>#REF!</formula>
    </cfRule>
  </conditionalFormatting>
  <conditionalFormatting sqref="B134 D134:F134">
    <cfRule type="cellIs" dxfId="412" priority="441" operator="equal">
      <formula>#REF!</formula>
    </cfRule>
    <cfRule type="cellIs" dxfId="411" priority="442" operator="equal">
      <formula>#REF!</formula>
    </cfRule>
  </conditionalFormatting>
  <conditionalFormatting sqref="E135">
    <cfRule type="cellIs" dxfId="410" priority="439" operator="equal">
      <formula>#REF!</formula>
    </cfRule>
    <cfRule type="cellIs" dxfId="409" priority="440" operator="equal">
      <formula>#REF!</formula>
    </cfRule>
  </conditionalFormatting>
  <conditionalFormatting sqref="E135">
    <cfRule type="cellIs" dxfId="408" priority="437" operator="equal">
      <formula>#REF!</formula>
    </cfRule>
    <cfRule type="cellIs" dxfId="407" priority="438" operator="equal">
      <formula>#REF!</formula>
    </cfRule>
  </conditionalFormatting>
  <conditionalFormatting sqref="F135">
    <cfRule type="cellIs" dxfId="406" priority="435" operator="equal">
      <formula>#REF!</formula>
    </cfRule>
    <cfRule type="cellIs" dxfId="405" priority="436" operator="equal">
      <formula>#REF!</formula>
    </cfRule>
  </conditionalFormatting>
  <conditionalFormatting sqref="D136">
    <cfRule type="cellIs" dxfId="404" priority="431" operator="equal">
      <formula>#REF!</formula>
    </cfRule>
    <cfRule type="cellIs" dxfId="403" priority="432" operator="equal">
      <formula>#REF!</formula>
    </cfRule>
  </conditionalFormatting>
  <conditionalFormatting sqref="E136">
    <cfRule type="cellIs" dxfId="402" priority="429" operator="equal">
      <formula>#REF!</formula>
    </cfRule>
    <cfRule type="cellIs" dxfId="401" priority="430" operator="equal">
      <formula>#REF!</formula>
    </cfRule>
  </conditionalFormatting>
  <conditionalFormatting sqref="E136">
    <cfRule type="cellIs" dxfId="400" priority="427" operator="equal">
      <formula>#REF!</formula>
    </cfRule>
    <cfRule type="cellIs" dxfId="399" priority="428" operator="equal">
      <formula>#REF!</formula>
    </cfRule>
  </conditionalFormatting>
  <conditionalFormatting sqref="F136">
    <cfRule type="cellIs" dxfId="398" priority="425" operator="equal">
      <formula>#REF!</formula>
    </cfRule>
    <cfRule type="cellIs" dxfId="397" priority="426" operator="equal">
      <formula>#REF!</formula>
    </cfRule>
  </conditionalFormatting>
  <conditionalFormatting sqref="D137">
    <cfRule type="cellIs" dxfId="396" priority="421" operator="equal">
      <formula>#REF!</formula>
    </cfRule>
    <cfRule type="cellIs" dxfId="395" priority="422" operator="equal">
      <formula>#REF!</formula>
    </cfRule>
  </conditionalFormatting>
  <conditionalFormatting sqref="E137">
    <cfRule type="cellIs" dxfId="394" priority="419" operator="equal">
      <formula>#REF!</formula>
    </cfRule>
    <cfRule type="cellIs" dxfId="393" priority="420" operator="equal">
      <formula>#REF!</formula>
    </cfRule>
  </conditionalFormatting>
  <conditionalFormatting sqref="E137">
    <cfRule type="cellIs" dxfId="392" priority="417" operator="equal">
      <formula>#REF!</formula>
    </cfRule>
    <cfRule type="cellIs" dxfId="391" priority="418" operator="equal">
      <formula>#REF!</formula>
    </cfRule>
  </conditionalFormatting>
  <conditionalFormatting sqref="F137">
    <cfRule type="cellIs" dxfId="390" priority="415" operator="equal">
      <formula>#REF!</formula>
    </cfRule>
    <cfRule type="cellIs" dxfId="389" priority="416" operator="equal">
      <formula>#REF!</formula>
    </cfRule>
  </conditionalFormatting>
  <conditionalFormatting sqref="D138">
    <cfRule type="cellIs" dxfId="388" priority="413" operator="equal">
      <formula>#REF!</formula>
    </cfRule>
    <cfRule type="cellIs" dxfId="387" priority="414" operator="equal">
      <formula>#REF!</formula>
    </cfRule>
  </conditionalFormatting>
  <conditionalFormatting sqref="D139">
    <cfRule type="cellIs" dxfId="386" priority="411" operator="equal">
      <formula>#REF!</formula>
    </cfRule>
    <cfRule type="cellIs" dxfId="385" priority="412" operator="equal">
      <formula>#REF!</formula>
    </cfRule>
  </conditionalFormatting>
  <conditionalFormatting sqref="D15">
    <cfRule type="cellIs" dxfId="384" priority="409" operator="equal">
      <formula>#REF!</formula>
    </cfRule>
    <cfRule type="cellIs" dxfId="383" priority="410" operator="equal">
      <formula>#REF!</formula>
    </cfRule>
  </conditionalFormatting>
  <conditionalFormatting sqref="D15">
    <cfRule type="cellIs" dxfId="382" priority="407" operator="equal">
      <formula>#REF!</formula>
    </cfRule>
    <cfRule type="cellIs" dxfId="381" priority="408" operator="equal">
      <formula>#REF!</formula>
    </cfRule>
  </conditionalFormatting>
  <conditionalFormatting sqref="E163 B188">
    <cfRule type="cellIs" dxfId="380" priority="405" operator="equal">
      <formula>#REF!</formula>
    </cfRule>
    <cfRule type="cellIs" dxfId="379" priority="406" operator="equal">
      <formula>#REF!</formula>
    </cfRule>
  </conditionalFormatting>
  <conditionalFormatting sqref="F161 F148:F151 F153">
    <cfRule type="cellIs" dxfId="378" priority="403" operator="equal">
      <formula>#REF!</formula>
    </cfRule>
    <cfRule type="cellIs" dxfId="377" priority="404" operator="equal">
      <formula>#REF!</formula>
    </cfRule>
  </conditionalFormatting>
  <conditionalFormatting sqref="F156:F160 D161:D162">
    <cfRule type="cellIs" dxfId="376" priority="401" operator="equal">
      <formula>#REF!</formula>
    </cfRule>
    <cfRule type="cellIs" dxfId="375" priority="402" operator="equal">
      <formula>#REF!</formula>
    </cfRule>
  </conditionalFormatting>
  <conditionalFormatting sqref="E161:E162">
    <cfRule type="cellIs" dxfId="374" priority="399" operator="equal">
      <formula>#REF!</formula>
    </cfRule>
    <cfRule type="cellIs" dxfId="373" priority="400" operator="equal">
      <formula>#REF!</formula>
    </cfRule>
  </conditionalFormatting>
  <conditionalFormatting sqref="D171:F171">
    <cfRule type="cellIs" dxfId="372" priority="397" operator="equal">
      <formula>#REF!</formula>
    </cfRule>
    <cfRule type="cellIs" dxfId="371" priority="398" operator="equal">
      <formula>#REF!</formula>
    </cfRule>
  </conditionalFormatting>
  <conditionalFormatting sqref="D165">
    <cfRule type="cellIs" dxfId="370" priority="395" operator="equal">
      <formula>#REF!</formula>
    </cfRule>
    <cfRule type="cellIs" dxfId="369" priority="396" operator="equal">
      <formula>#REF!</formula>
    </cfRule>
  </conditionalFormatting>
  <conditionalFormatting sqref="E148:E151 E153">
    <cfRule type="cellIs" dxfId="368" priority="391" operator="equal">
      <formula>#REF!</formula>
    </cfRule>
    <cfRule type="cellIs" dxfId="367" priority="392" operator="equal">
      <formula>#REF!</formula>
    </cfRule>
  </conditionalFormatting>
  <conditionalFormatting sqref="F162">
    <cfRule type="cellIs" dxfId="366" priority="389" operator="equal">
      <formula>#REF!</formula>
    </cfRule>
    <cfRule type="cellIs" dxfId="365" priority="390" operator="equal">
      <formula>#REF!</formula>
    </cfRule>
  </conditionalFormatting>
  <conditionalFormatting sqref="B186:B187">
    <cfRule type="cellIs" dxfId="364" priority="387" operator="equal">
      <formula>#REF!</formula>
    </cfRule>
    <cfRule type="cellIs" dxfId="363" priority="388" operator="equal">
      <formula>#REF!</formula>
    </cfRule>
  </conditionalFormatting>
  <conditionalFormatting sqref="F151">
    <cfRule type="cellIs" dxfId="362" priority="385" operator="equal">
      <formula>#REF!</formula>
    </cfRule>
    <cfRule type="cellIs" dxfId="361" priority="386" operator="equal">
      <formula>#REF!</formula>
    </cfRule>
  </conditionalFormatting>
  <conditionalFormatting sqref="B152 D152:F152">
    <cfRule type="cellIs" dxfId="360" priority="383" operator="equal">
      <formula>#REF!</formula>
    </cfRule>
    <cfRule type="cellIs" dxfId="359" priority="384" operator="equal">
      <formula>#REF!</formula>
    </cfRule>
  </conditionalFormatting>
  <conditionalFormatting sqref="B152 D152:F152">
    <cfRule type="cellIs" dxfId="358" priority="381" operator="equal">
      <formula>#REF!</formula>
    </cfRule>
    <cfRule type="cellIs" dxfId="357" priority="382" operator="equal">
      <formula>#REF!</formula>
    </cfRule>
  </conditionalFormatting>
  <conditionalFormatting sqref="B154 D154:F154">
    <cfRule type="cellIs" dxfId="356" priority="379" operator="equal">
      <formula>#REF!</formula>
    </cfRule>
    <cfRule type="cellIs" dxfId="355" priority="380" operator="equal">
      <formula>#REF!</formula>
    </cfRule>
  </conditionalFormatting>
  <conditionalFormatting sqref="B154 D154:F154">
    <cfRule type="cellIs" dxfId="354" priority="377" operator="equal">
      <formula>#REF!</formula>
    </cfRule>
    <cfRule type="cellIs" dxfId="353" priority="378" operator="equal">
      <formula>#REF!</formula>
    </cfRule>
  </conditionalFormatting>
  <conditionalFormatting sqref="D2:D193 D210:D213 D226:D229 D231:D241 D244:D378 D401 D403 D405 D407:D408 D410:D479 D495:D500">
    <cfRule type="cellIs" dxfId="352" priority="374" operator="equal">
      <formula>"紧急"</formula>
    </cfRule>
    <cfRule type="cellIs" dxfId="351" priority="375" operator="equal">
      <formula>"高"</formula>
    </cfRule>
    <cfRule type="cellIs" dxfId="350" priority="376" operator="equal">
      <formula>"中"</formula>
    </cfRule>
  </conditionalFormatting>
  <conditionalFormatting sqref="A145:A188">
    <cfRule type="duplicateValues" dxfId="349" priority="593"/>
  </conditionalFormatting>
  <conditionalFormatting sqref="A189:A211">
    <cfRule type="duplicateValues" dxfId="348" priority="372"/>
  </conditionalFormatting>
  <conditionalFormatting sqref="A189:A211">
    <cfRule type="duplicateValues" dxfId="347" priority="373"/>
  </conditionalFormatting>
  <conditionalFormatting sqref="D194">
    <cfRule type="cellIs" dxfId="346" priority="369" operator="equal">
      <formula>"紧急"</formula>
    </cfRule>
    <cfRule type="cellIs" dxfId="345" priority="370" operator="equal">
      <formula>"高"</formula>
    </cfRule>
    <cfRule type="cellIs" dxfId="344" priority="371" operator="equal">
      <formula>"中"</formula>
    </cfRule>
  </conditionalFormatting>
  <conditionalFormatting sqref="D195">
    <cfRule type="cellIs" dxfId="343" priority="366" operator="equal">
      <formula>"紧急"</formula>
    </cfRule>
    <cfRule type="cellIs" dxfId="342" priority="367" operator="equal">
      <formula>"高"</formula>
    </cfRule>
    <cfRule type="cellIs" dxfId="341" priority="368" operator="equal">
      <formula>"中"</formula>
    </cfRule>
  </conditionalFormatting>
  <conditionalFormatting sqref="D196">
    <cfRule type="cellIs" dxfId="340" priority="363" operator="equal">
      <formula>"紧急"</formula>
    </cfRule>
    <cfRule type="cellIs" dxfId="339" priority="364" operator="equal">
      <formula>"高"</formula>
    </cfRule>
    <cfRule type="cellIs" dxfId="338" priority="365" operator="equal">
      <formula>"中"</formula>
    </cfRule>
  </conditionalFormatting>
  <conditionalFormatting sqref="D197">
    <cfRule type="cellIs" dxfId="337" priority="360" operator="equal">
      <formula>"紧急"</formula>
    </cfRule>
    <cfRule type="cellIs" dxfId="336" priority="361" operator="equal">
      <formula>"高"</formula>
    </cfRule>
    <cfRule type="cellIs" dxfId="335" priority="362" operator="equal">
      <formula>"中"</formula>
    </cfRule>
  </conditionalFormatting>
  <conditionalFormatting sqref="D198">
    <cfRule type="cellIs" dxfId="334" priority="357" operator="equal">
      <formula>"紧急"</formula>
    </cfRule>
    <cfRule type="cellIs" dxfId="333" priority="358" operator="equal">
      <formula>"高"</formula>
    </cfRule>
    <cfRule type="cellIs" dxfId="332" priority="359" operator="equal">
      <formula>"中"</formula>
    </cfRule>
  </conditionalFormatting>
  <conditionalFormatting sqref="D199">
    <cfRule type="cellIs" dxfId="331" priority="354" operator="equal">
      <formula>"紧急"</formula>
    </cfRule>
    <cfRule type="cellIs" dxfId="330" priority="355" operator="equal">
      <formula>"高"</formula>
    </cfRule>
    <cfRule type="cellIs" dxfId="329" priority="356" operator="equal">
      <formula>"中"</formula>
    </cfRule>
  </conditionalFormatting>
  <conditionalFormatting sqref="D200:D202">
    <cfRule type="cellIs" dxfId="328" priority="351" operator="equal">
      <formula>"紧急"</formula>
    </cfRule>
    <cfRule type="cellIs" dxfId="327" priority="352" operator="equal">
      <formula>"高"</formula>
    </cfRule>
    <cfRule type="cellIs" dxfId="326" priority="353" operator="equal">
      <formula>"中"</formula>
    </cfRule>
  </conditionalFormatting>
  <conditionalFormatting sqref="D203">
    <cfRule type="cellIs" dxfId="325" priority="348" operator="equal">
      <formula>"紧急"</formula>
    </cfRule>
    <cfRule type="cellIs" dxfId="324" priority="349" operator="equal">
      <formula>"高"</formula>
    </cfRule>
    <cfRule type="cellIs" dxfId="323" priority="350" operator="equal">
      <formula>"中"</formula>
    </cfRule>
  </conditionalFormatting>
  <conditionalFormatting sqref="D204">
    <cfRule type="cellIs" dxfId="322" priority="345" operator="equal">
      <formula>"紧急"</formula>
    </cfRule>
    <cfRule type="cellIs" dxfId="321" priority="346" operator="equal">
      <formula>"高"</formula>
    </cfRule>
    <cfRule type="cellIs" dxfId="320" priority="347" operator="equal">
      <formula>"中"</formula>
    </cfRule>
  </conditionalFormatting>
  <conditionalFormatting sqref="D205">
    <cfRule type="cellIs" dxfId="319" priority="342" operator="equal">
      <formula>"紧急"</formula>
    </cfRule>
    <cfRule type="cellIs" dxfId="318" priority="343" operator="equal">
      <formula>"高"</formula>
    </cfRule>
    <cfRule type="cellIs" dxfId="317" priority="344" operator="equal">
      <formula>"中"</formula>
    </cfRule>
  </conditionalFormatting>
  <conditionalFormatting sqref="D206">
    <cfRule type="cellIs" dxfId="316" priority="339" operator="equal">
      <formula>"紧急"</formula>
    </cfRule>
    <cfRule type="cellIs" dxfId="315" priority="340" operator="equal">
      <formula>"高"</formula>
    </cfRule>
    <cfRule type="cellIs" dxfId="314" priority="341" operator="equal">
      <formula>"中"</formula>
    </cfRule>
  </conditionalFormatting>
  <conditionalFormatting sqref="D207:D208">
    <cfRule type="cellIs" dxfId="313" priority="336" operator="equal">
      <formula>"紧急"</formula>
    </cfRule>
    <cfRule type="cellIs" dxfId="312" priority="337" operator="equal">
      <formula>"高"</formula>
    </cfRule>
    <cfRule type="cellIs" dxfId="311" priority="338" operator="equal">
      <formula>"中"</formula>
    </cfRule>
  </conditionalFormatting>
  <conditionalFormatting sqref="D209">
    <cfRule type="cellIs" dxfId="310" priority="333" operator="equal">
      <formula>"紧急"</formula>
    </cfRule>
    <cfRule type="cellIs" dxfId="309" priority="334" operator="equal">
      <formula>"高"</formula>
    </cfRule>
    <cfRule type="cellIs" dxfId="308" priority="335" operator="equal">
      <formula>"中"</formula>
    </cfRule>
  </conditionalFormatting>
  <conditionalFormatting sqref="A212:A248">
    <cfRule type="cellIs" dxfId="307" priority="331" operator="equal">
      <formula>#REF!</formula>
    </cfRule>
    <cfRule type="cellIs" dxfId="306" priority="332" operator="equal">
      <formula>#REF!</formula>
    </cfRule>
  </conditionalFormatting>
  <conditionalFormatting sqref="D214 D217:D229 D231:D234">
    <cfRule type="cellIs" dxfId="305" priority="328" operator="equal">
      <formula>"紧急"</formula>
    </cfRule>
    <cfRule type="cellIs" dxfId="304" priority="329" operator="equal">
      <formula>"高"</formula>
    </cfRule>
    <cfRule type="cellIs" dxfId="303" priority="330" operator="equal">
      <formula>"中"</formula>
    </cfRule>
  </conditionalFormatting>
  <conditionalFormatting sqref="D215">
    <cfRule type="cellIs" dxfId="302" priority="325" operator="equal">
      <formula>"紧急"</formula>
    </cfRule>
    <cfRule type="cellIs" dxfId="301" priority="326" operator="equal">
      <formula>"高"</formula>
    </cfRule>
    <cfRule type="cellIs" dxfId="300" priority="327" operator="equal">
      <formula>"中"</formula>
    </cfRule>
  </conditionalFormatting>
  <conditionalFormatting sqref="D216">
    <cfRule type="cellIs" dxfId="299" priority="322" operator="equal">
      <formula>"紧急"</formula>
    </cfRule>
    <cfRule type="cellIs" dxfId="298" priority="323" operator="equal">
      <formula>"高"</formula>
    </cfRule>
    <cfRule type="cellIs" dxfId="297" priority="324" operator="equal">
      <formula>"中"</formula>
    </cfRule>
  </conditionalFormatting>
  <conditionalFormatting sqref="D230">
    <cfRule type="cellIs" dxfId="296" priority="319" operator="equal">
      <formula>"紧急"</formula>
    </cfRule>
    <cfRule type="cellIs" dxfId="295" priority="320" operator="equal">
      <formula>"高"</formula>
    </cfRule>
    <cfRule type="cellIs" dxfId="294" priority="321" operator="equal">
      <formula>"中"</formula>
    </cfRule>
  </conditionalFormatting>
  <conditionalFormatting sqref="D235:D241 D244:D248">
    <cfRule type="cellIs" dxfId="293" priority="316" operator="equal">
      <formula>"紧急"</formula>
    </cfRule>
    <cfRule type="cellIs" dxfId="292" priority="317" operator="equal">
      <formula>"高"</formula>
    </cfRule>
    <cfRule type="cellIs" dxfId="291" priority="318" operator="equal">
      <formula>"中"</formula>
    </cfRule>
  </conditionalFormatting>
  <conditionalFormatting sqref="D242:F242">
    <cfRule type="cellIs" dxfId="290" priority="314" operator="equal">
      <formula>#REF!</formula>
    </cfRule>
    <cfRule type="cellIs" dxfId="289" priority="315" operator="equal">
      <formula>#REF!</formula>
    </cfRule>
  </conditionalFormatting>
  <conditionalFormatting sqref="D242">
    <cfRule type="cellIs" dxfId="288" priority="311" operator="equal">
      <formula>"紧急"</formula>
    </cfRule>
    <cfRule type="cellIs" dxfId="287" priority="312" operator="equal">
      <formula>"高"</formula>
    </cfRule>
    <cfRule type="cellIs" dxfId="286" priority="313" operator="equal">
      <formula>"中"</formula>
    </cfRule>
  </conditionalFormatting>
  <conditionalFormatting sqref="D243">
    <cfRule type="cellIs" dxfId="285" priority="309" operator="equal">
      <formula>#REF!</formula>
    </cfRule>
    <cfRule type="cellIs" dxfId="284" priority="310" operator="equal">
      <formula>#REF!</formula>
    </cfRule>
  </conditionalFormatting>
  <conditionalFormatting sqref="D243">
    <cfRule type="cellIs" dxfId="283" priority="306" operator="equal">
      <formula>"紧急"</formula>
    </cfRule>
    <cfRule type="cellIs" dxfId="282" priority="307" operator="equal">
      <formula>"高"</formula>
    </cfRule>
    <cfRule type="cellIs" dxfId="281" priority="308" operator="equal">
      <formula>"中"</formula>
    </cfRule>
  </conditionalFormatting>
  <conditionalFormatting sqref="A2:A188 A249:A363">
    <cfRule type="duplicateValues" dxfId="280" priority="594"/>
  </conditionalFormatting>
  <conditionalFormatting sqref="A2:A363">
    <cfRule type="duplicateValues" dxfId="279" priority="595"/>
  </conditionalFormatting>
  <conditionalFormatting sqref="A407">
    <cfRule type="cellIs" dxfId="278" priority="304" operator="equal">
      <formula>#REF!</formula>
    </cfRule>
    <cfRule type="cellIs" dxfId="277" priority="305" operator="equal">
      <formula>#REF!</formula>
    </cfRule>
  </conditionalFormatting>
  <conditionalFormatting sqref="A407">
    <cfRule type="cellIs" dxfId="276" priority="302" operator="equal">
      <formula>#REF!</formula>
    </cfRule>
    <cfRule type="cellIs" dxfId="275" priority="303" operator="equal">
      <formula>#REF!</formula>
    </cfRule>
  </conditionalFormatting>
  <conditionalFormatting sqref="G379:J399 B379:B390 B392:B399 D385:E399 D379:F384">
    <cfRule type="cellIs" dxfId="274" priority="300" operator="equal">
      <formula>#REF!</formula>
    </cfRule>
    <cfRule type="cellIs" dxfId="273" priority="301" operator="equal">
      <formula>#REF!</formula>
    </cfRule>
  </conditionalFormatting>
  <conditionalFormatting sqref="D379:D399">
    <cfRule type="cellIs" dxfId="272" priority="297" operator="equal">
      <formula>"紧急"</formula>
    </cfRule>
    <cfRule type="cellIs" dxfId="271" priority="298" operator="equal">
      <formula>"高"</formula>
    </cfRule>
    <cfRule type="cellIs" dxfId="270" priority="299" operator="equal">
      <formula>"中"</formula>
    </cfRule>
  </conditionalFormatting>
  <conditionalFormatting sqref="A379:A399">
    <cfRule type="cellIs" dxfId="269" priority="295" operator="equal">
      <formula>#REF!</formula>
    </cfRule>
    <cfRule type="cellIs" dxfId="268" priority="296" operator="equal">
      <formula>#REF!</formula>
    </cfRule>
  </conditionalFormatting>
  <conditionalFormatting sqref="B391">
    <cfRule type="cellIs" dxfId="267" priority="293" operator="equal">
      <formula>#REF!</formula>
    </cfRule>
    <cfRule type="cellIs" dxfId="266" priority="294" operator="equal">
      <formula>#REF!</formula>
    </cfRule>
  </conditionalFormatting>
  <conditionalFormatting sqref="F385:F399">
    <cfRule type="cellIs" dxfId="265" priority="291" operator="equal">
      <formula>#REF!</formula>
    </cfRule>
    <cfRule type="cellIs" dxfId="264" priority="292" operator="equal">
      <formula>#REF!</formula>
    </cfRule>
  </conditionalFormatting>
  <conditionalFormatting sqref="A400:A406">
    <cfRule type="cellIs" dxfId="263" priority="289" operator="equal">
      <formula>#REF!</formula>
    </cfRule>
    <cfRule type="cellIs" dxfId="262" priority="290" operator="equal">
      <formula>#REF!</formula>
    </cfRule>
  </conditionalFormatting>
  <conditionalFormatting sqref="D400:F400">
    <cfRule type="cellIs" dxfId="261" priority="287" operator="equal">
      <formula>#REF!</formula>
    </cfRule>
    <cfRule type="cellIs" dxfId="260" priority="288" operator="equal">
      <formula>#REF!</formula>
    </cfRule>
  </conditionalFormatting>
  <conditionalFormatting sqref="D400">
    <cfRule type="cellIs" dxfId="259" priority="284" operator="equal">
      <formula>"紧急"</formula>
    </cfRule>
    <cfRule type="cellIs" dxfId="258" priority="285" operator="equal">
      <formula>"高"</formula>
    </cfRule>
    <cfRule type="cellIs" dxfId="257" priority="286" operator="equal">
      <formula>"中"</formula>
    </cfRule>
  </conditionalFormatting>
  <conditionalFormatting sqref="D402">
    <cfRule type="cellIs" dxfId="256" priority="282" operator="equal">
      <formula>#REF!</formula>
    </cfRule>
    <cfRule type="cellIs" dxfId="255" priority="283" operator="equal">
      <formula>#REF!</formula>
    </cfRule>
  </conditionalFormatting>
  <conditionalFormatting sqref="D402">
    <cfRule type="cellIs" dxfId="254" priority="279" operator="equal">
      <formula>"紧急"</formula>
    </cfRule>
    <cfRule type="cellIs" dxfId="253" priority="280" operator="equal">
      <formula>"高"</formula>
    </cfRule>
    <cfRule type="cellIs" dxfId="252" priority="281" operator="equal">
      <formula>"中"</formula>
    </cfRule>
  </conditionalFormatting>
  <conditionalFormatting sqref="D404">
    <cfRule type="cellIs" dxfId="251" priority="277" operator="equal">
      <formula>#REF!</formula>
    </cfRule>
    <cfRule type="cellIs" dxfId="250" priority="278" operator="equal">
      <formula>#REF!</formula>
    </cfRule>
  </conditionalFormatting>
  <conditionalFormatting sqref="D404">
    <cfRule type="cellIs" dxfId="249" priority="274" operator="equal">
      <formula>"紧急"</formula>
    </cfRule>
    <cfRule type="cellIs" dxfId="248" priority="275" operator="equal">
      <formula>"高"</formula>
    </cfRule>
    <cfRule type="cellIs" dxfId="247" priority="276" operator="equal">
      <formula>"中"</formula>
    </cfRule>
  </conditionalFormatting>
  <conditionalFormatting sqref="D406">
    <cfRule type="cellIs" dxfId="246" priority="272" operator="equal">
      <formula>#REF!</formula>
    </cfRule>
    <cfRule type="cellIs" dxfId="245" priority="273" operator="equal">
      <formula>#REF!</formula>
    </cfRule>
  </conditionalFormatting>
  <conditionalFormatting sqref="D406">
    <cfRule type="cellIs" dxfId="244" priority="269" operator="equal">
      <formula>"紧急"</formula>
    </cfRule>
    <cfRule type="cellIs" dxfId="243" priority="270" operator="equal">
      <formula>"高"</formula>
    </cfRule>
    <cfRule type="cellIs" dxfId="242" priority="271" operator="equal">
      <formula>"中"</formula>
    </cfRule>
  </conditionalFormatting>
  <conditionalFormatting sqref="A408">
    <cfRule type="cellIs" dxfId="241" priority="267" operator="equal">
      <formula>#REF!</formula>
    </cfRule>
    <cfRule type="cellIs" dxfId="240" priority="268" operator="equal">
      <formula>#REF!</formula>
    </cfRule>
  </conditionalFormatting>
  <conditionalFormatting sqref="A408">
    <cfRule type="cellIs" dxfId="239" priority="265" operator="equal">
      <formula>#REF!</formula>
    </cfRule>
    <cfRule type="cellIs" dxfId="238" priority="266" operator="equal">
      <formula>#REF!</formula>
    </cfRule>
  </conditionalFormatting>
  <conditionalFormatting sqref="G409:J409">
    <cfRule type="cellIs" dxfId="237" priority="263" operator="equal">
      <formula>#REF!</formula>
    </cfRule>
    <cfRule type="cellIs" dxfId="236" priority="264" operator="equal">
      <formula>#REF!</formula>
    </cfRule>
  </conditionalFormatting>
  <conditionalFormatting sqref="D409">
    <cfRule type="cellIs" dxfId="235" priority="261" operator="equal">
      <formula>#REF!</formula>
    </cfRule>
    <cfRule type="cellIs" dxfId="234" priority="262" operator="equal">
      <formula>#REF!</formula>
    </cfRule>
  </conditionalFormatting>
  <conditionalFormatting sqref="D409">
    <cfRule type="cellIs" dxfId="233" priority="258" operator="equal">
      <formula>"紧急"</formula>
    </cfRule>
    <cfRule type="cellIs" dxfId="232" priority="259" operator="equal">
      <formula>"高"</formula>
    </cfRule>
    <cfRule type="cellIs" dxfId="231" priority="260" operator="equal">
      <formula>"中"</formula>
    </cfRule>
  </conditionalFormatting>
  <conditionalFormatting sqref="A409">
    <cfRule type="cellIs" dxfId="230" priority="256" operator="equal">
      <formula>#REF!</formula>
    </cfRule>
    <cfRule type="cellIs" dxfId="229" priority="257" operator="equal">
      <formula>#REF!</formula>
    </cfRule>
  </conditionalFormatting>
  <conditionalFormatting sqref="A410:A439">
    <cfRule type="cellIs" dxfId="228" priority="254" operator="equal">
      <formula>#REF!</formula>
    </cfRule>
    <cfRule type="cellIs" dxfId="227" priority="255" operator="equal">
      <formula>#REF!</formula>
    </cfRule>
  </conditionalFormatting>
  <conditionalFormatting sqref="A410:A418">
    <cfRule type="cellIs" dxfId="226" priority="252" operator="equal">
      <formula>#REF!</formula>
    </cfRule>
    <cfRule type="cellIs" dxfId="225" priority="253" operator="equal">
      <formula>#REF!</formula>
    </cfRule>
  </conditionalFormatting>
  <conditionalFormatting sqref="A440:A441">
    <cfRule type="cellIs" dxfId="224" priority="250" operator="equal">
      <formula>#REF!</formula>
    </cfRule>
    <cfRule type="cellIs" dxfId="223" priority="251" operator="equal">
      <formula>#REF!</formula>
    </cfRule>
  </conditionalFormatting>
  <conditionalFormatting sqref="A442:A457">
    <cfRule type="cellIs" dxfId="222" priority="248" operator="equal">
      <formula>#REF!</formula>
    </cfRule>
    <cfRule type="cellIs" dxfId="221" priority="249" operator="equal">
      <formula>#REF!</formula>
    </cfRule>
  </conditionalFormatting>
  <conditionalFormatting sqref="A458:A459">
    <cfRule type="cellIs" dxfId="220" priority="246" operator="equal">
      <formula>#REF!</formula>
    </cfRule>
    <cfRule type="cellIs" dxfId="219" priority="247" operator="equal">
      <formula>#REF!</formula>
    </cfRule>
  </conditionalFormatting>
  <conditionalFormatting sqref="A458:A459">
    <cfRule type="cellIs" dxfId="218" priority="244" operator="equal">
      <formula>#REF!</formula>
    </cfRule>
    <cfRule type="cellIs" dxfId="217" priority="245" operator="equal">
      <formula>#REF!</formula>
    </cfRule>
  </conditionalFormatting>
  <conditionalFormatting sqref="E463:F463 F465 F467 F469 F471 F473 F475 F477 F479">
    <cfRule type="cellIs" dxfId="216" priority="242" operator="equal">
      <formula>#REF!</formula>
    </cfRule>
    <cfRule type="cellIs" dxfId="215" priority="243" operator="equal">
      <formula>#REF!</formula>
    </cfRule>
  </conditionalFormatting>
  <conditionalFormatting sqref="F462 F464 F466 F468 F470 F472 F474 F476 F478">
    <cfRule type="cellIs" dxfId="214" priority="240" operator="equal">
      <formula>#REF!</formula>
    </cfRule>
    <cfRule type="cellIs" dxfId="213" priority="241" operator="equal">
      <formula>#REF!</formula>
    </cfRule>
  </conditionalFormatting>
  <conditionalFormatting sqref="F472 F474 F476 F478">
    <cfRule type="cellIs" dxfId="212" priority="238" operator="equal">
      <formula>#REF!</formula>
    </cfRule>
    <cfRule type="cellIs" dxfId="211" priority="239" operator="equal">
      <formula>#REF!</formula>
    </cfRule>
  </conditionalFormatting>
  <conditionalFormatting sqref="F473 F475 F477">
    <cfRule type="cellIs" dxfId="210" priority="236" operator="equal">
      <formula>#REF!</formula>
    </cfRule>
    <cfRule type="cellIs" dxfId="209" priority="237" operator="equal">
      <formula>#REF!</formula>
    </cfRule>
  </conditionalFormatting>
  <conditionalFormatting sqref="E465">
    <cfRule type="cellIs" dxfId="208" priority="234" operator="equal">
      <formula>#REF!</formula>
    </cfRule>
    <cfRule type="cellIs" dxfId="207" priority="235" operator="equal">
      <formula>#REF!</formula>
    </cfRule>
  </conditionalFormatting>
  <conditionalFormatting sqref="E469">
    <cfRule type="cellIs" dxfId="206" priority="232" operator="equal">
      <formula>#REF!</formula>
    </cfRule>
    <cfRule type="cellIs" dxfId="205" priority="233" operator="equal">
      <formula>#REF!</formula>
    </cfRule>
  </conditionalFormatting>
  <conditionalFormatting sqref="E470">
    <cfRule type="cellIs" dxfId="204" priority="230" operator="equal">
      <formula>#REF!</formula>
    </cfRule>
    <cfRule type="cellIs" dxfId="203" priority="231" operator="equal">
      <formula>#REF!</formula>
    </cfRule>
  </conditionalFormatting>
  <conditionalFormatting sqref="E471">
    <cfRule type="cellIs" dxfId="202" priority="228" operator="equal">
      <formula>#REF!</formula>
    </cfRule>
    <cfRule type="cellIs" dxfId="201" priority="229" operator="equal">
      <formula>#REF!</formula>
    </cfRule>
  </conditionalFormatting>
  <conditionalFormatting sqref="E472">
    <cfRule type="cellIs" dxfId="200" priority="226" operator="equal">
      <formula>#REF!</formula>
    </cfRule>
    <cfRule type="cellIs" dxfId="199" priority="227" operator="equal">
      <formula>#REF!</formula>
    </cfRule>
  </conditionalFormatting>
  <conditionalFormatting sqref="E475">
    <cfRule type="cellIs" dxfId="198" priority="224" operator="equal">
      <formula>#REF!</formula>
    </cfRule>
    <cfRule type="cellIs" dxfId="197" priority="225" operator="equal">
      <formula>#REF!</formula>
    </cfRule>
  </conditionalFormatting>
  <conditionalFormatting sqref="E476">
    <cfRule type="cellIs" dxfId="196" priority="222" operator="equal">
      <formula>#REF!</formula>
    </cfRule>
    <cfRule type="cellIs" dxfId="195" priority="223" operator="equal">
      <formula>#REF!</formula>
    </cfRule>
  </conditionalFormatting>
  <conditionalFormatting sqref="E477">
    <cfRule type="cellIs" dxfId="194" priority="220" operator="equal">
      <formula>#REF!</formula>
    </cfRule>
    <cfRule type="cellIs" dxfId="193" priority="221" operator="equal">
      <formula>#REF!</formula>
    </cfRule>
  </conditionalFormatting>
  <conditionalFormatting sqref="E478">
    <cfRule type="cellIs" dxfId="192" priority="218" operator="equal">
      <formula>#REF!</formula>
    </cfRule>
    <cfRule type="cellIs" dxfId="191" priority="219" operator="equal">
      <formula>#REF!</formula>
    </cfRule>
  </conditionalFormatting>
  <conditionalFormatting sqref="E479">
    <cfRule type="cellIs" dxfId="190" priority="216" operator="equal">
      <formula>#REF!</formula>
    </cfRule>
    <cfRule type="cellIs" dxfId="189" priority="217" operator="equal">
      <formula>#REF!</formula>
    </cfRule>
  </conditionalFormatting>
  <conditionalFormatting sqref="D480 D482:D491">
    <cfRule type="cellIs" dxfId="188" priority="213" operator="equal">
      <formula>"紧急"</formula>
    </cfRule>
    <cfRule type="cellIs" dxfId="187" priority="214" operator="equal">
      <formula>"高"</formula>
    </cfRule>
    <cfRule type="cellIs" dxfId="186" priority="215" operator="equal">
      <formula>"中"</formula>
    </cfRule>
  </conditionalFormatting>
  <conditionalFormatting sqref="D481">
    <cfRule type="cellIs" dxfId="185" priority="210" operator="equal">
      <formula>"紧急"</formula>
    </cfRule>
    <cfRule type="cellIs" dxfId="184" priority="211" operator="equal">
      <formula>"高"</formula>
    </cfRule>
    <cfRule type="cellIs" dxfId="183" priority="212" operator="equal">
      <formula>"中"</formula>
    </cfRule>
  </conditionalFormatting>
  <conditionalFormatting sqref="D481">
    <cfRule type="cellIs" dxfId="182" priority="207" operator="equal">
      <formula>"紧急"</formula>
    </cfRule>
    <cfRule type="cellIs" dxfId="181" priority="208" operator="equal">
      <formula>"高"</formula>
    </cfRule>
    <cfRule type="cellIs" dxfId="180" priority="209" operator="equal">
      <formula>"中"</formula>
    </cfRule>
  </conditionalFormatting>
  <conditionalFormatting sqref="E488:F488">
    <cfRule type="cellIs" dxfId="179" priority="205" operator="equal">
      <formula>#REF!</formula>
    </cfRule>
    <cfRule type="cellIs" dxfId="178" priority="206" operator="equal">
      <formula>#REF!</formula>
    </cfRule>
  </conditionalFormatting>
  <conditionalFormatting sqref="F490">
    <cfRule type="cellIs" dxfId="177" priority="203" operator="equal">
      <formula>#REF!</formula>
    </cfRule>
    <cfRule type="cellIs" dxfId="176" priority="204" operator="equal">
      <formula>#REF!</formula>
    </cfRule>
  </conditionalFormatting>
  <conditionalFormatting sqref="F491">
    <cfRule type="cellIs" dxfId="175" priority="201" operator="equal">
      <formula>#REF!</formula>
    </cfRule>
    <cfRule type="cellIs" dxfId="174" priority="202" operator="equal">
      <formula>#REF!</formula>
    </cfRule>
  </conditionalFormatting>
  <conditionalFormatting sqref="D492:D493">
    <cfRule type="cellIs" dxfId="173" priority="198" operator="equal">
      <formula>"紧急"</formula>
    </cfRule>
    <cfRule type="cellIs" dxfId="172" priority="199" operator="equal">
      <formula>"高"</formula>
    </cfRule>
    <cfRule type="cellIs" dxfId="171" priority="200" operator="equal">
      <formula>"中"</formula>
    </cfRule>
  </conditionalFormatting>
  <conditionalFormatting sqref="D494">
    <cfRule type="cellIs" dxfId="170" priority="195" operator="equal">
      <formula>"紧急"</formula>
    </cfRule>
    <cfRule type="cellIs" dxfId="169" priority="196" operator="equal">
      <formula>"高"</formula>
    </cfRule>
    <cfRule type="cellIs" dxfId="168" priority="197" operator="equal">
      <formula>"中"</formula>
    </cfRule>
  </conditionalFormatting>
  <conditionalFormatting sqref="D501:D503">
    <cfRule type="cellIs" dxfId="167" priority="192" operator="equal">
      <formula>"紧急"</formula>
    </cfRule>
    <cfRule type="cellIs" dxfId="166" priority="193" operator="equal">
      <formula>"高"</formula>
    </cfRule>
    <cfRule type="cellIs" dxfId="165" priority="194" operator="equal">
      <formula>"中"</formula>
    </cfRule>
  </conditionalFormatting>
  <conditionalFormatting sqref="B501:B503 D501:F503">
    <cfRule type="cellIs" dxfId="164" priority="190" operator="equal">
      <formula>#REF!</formula>
    </cfRule>
    <cfRule type="cellIs" dxfId="163" priority="191" operator="equal">
      <formula>#REF!</formula>
    </cfRule>
  </conditionalFormatting>
  <conditionalFormatting sqref="D504">
    <cfRule type="cellIs" dxfId="162" priority="187" operator="equal">
      <formula>"紧急"</formula>
    </cfRule>
    <cfRule type="cellIs" dxfId="161" priority="188" operator="equal">
      <formula>"高"</formula>
    </cfRule>
    <cfRule type="cellIs" dxfId="160" priority="189" operator="equal">
      <formula>"中"</formula>
    </cfRule>
  </conditionalFormatting>
  <conditionalFormatting sqref="D505">
    <cfRule type="cellIs" dxfId="159" priority="184" operator="equal">
      <formula>"紧急"</formula>
    </cfRule>
    <cfRule type="cellIs" dxfId="158" priority="185" operator="equal">
      <formula>"高"</formula>
    </cfRule>
    <cfRule type="cellIs" dxfId="157" priority="186" operator="equal">
      <formula>"中"</formula>
    </cfRule>
  </conditionalFormatting>
  <conditionalFormatting sqref="G506:G508">
    <cfRule type="cellIs" dxfId="156" priority="182" operator="equal">
      <formula>#REF!</formula>
    </cfRule>
    <cfRule type="cellIs" dxfId="155" priority="183" operator="equal">
      <formula>#REF!</formula>
    </cfRule>
  </conditionalFormatting>
  <conditionalFormatting sqref="D506">
    <cfRule type="cellIs" dxfId="154" priority="179" operator="equal">
      <formula>"紧急"</formula>
    </cfRule>
    <cfRule type="cellIs" dxfId="153" priority="180" operator="equal">
      <formula>"高"</formula>
    </cfRule>
    <cfRule type="cellIs" dxfId="152" priority="181" operator="equal">
      <formula>"中"</formula>
    </cfRule>
  </conditionalFormatting>
  <conditionalFormatting sqref="B506 D506:F506">
    <cfRule type="cellIs" dxfId="151" priority="177" operator="equal">
      <formula>#REF!</formula>
    </cfRule>
    <cfRule type="cellIs" dxfId="150" priority="178" operator="equal">
      <formula>#REF!</formula>
    </cfRule>
  </conditionalFormatting>
  <conditionalFormatting sqref="D507">
    <cfRule type="cellIs" dxfId="149" priority="174" operator="equal">
      <formula>"紧急"</formula>
    </cfRule>
    <cfRule type="cellIs" dxfId="148" priority="175" operator="equal">
      <formula>"高"</formula>
    </cfRule>
    <cfRule type="cellIs" dxfId="147" priority="176" operator="equal">
      <formula>"中"</formula>
    </cfRule>
  </conditionalFormatting>
  <conditionalFormatting sqref="D508">
    <cfRule type="cellIs" dxfId="146" priority="171" operator="equal">
      <formula>"紧急"</formula>
    </cfRule>
    <cfRule type="cellIs" dxfId="145" priority="172" operator="equal">
      <formula>"高"</formula>
    </cfRule>
    <cfRule type="cellIs" dxfId="144" priority="173" operator="equal">
      <formula>"中"</formula>
    </cfRule>
  </conditionalFormatting>
  <conditionalFormatting sqref="G509:J510">
    <cfRule type="cellIs" dxfId="143" priority="169" operator="equal">
      <formula>#REF!</formula>
    </cfRule>
    <cfRule type="cellIs" dxfId="142" priority="170" operator="equal">
      <formula>#REF!</formula>
    </cfRule>
  </conditionalFormatting>
  <conditionalFormatting sqref="D510">
    <cfRule type="cellIs" dxfId="141" priority="166" operator="equal">
      <formula>"紧急"</formula>
    </cfRule>
    <cfRule type="cellIs" dxfId="140" priority="167" operator="equal">
      <formula>"高"</formula>
    </cfRule>
    <cfRule type="cellIs" dxfId="139" priority="168" operator="equal">
      <formula>"中"</formula>
    </cfRule>
  </conditionalFormatting>
  <conditionalFormatting sqref="D509">
    <cfRule type="cellIs" dxfId="138" priority="163" operator="equal">
      <formula>"紧急"</formula>
    </cfRule>
    <cfRule type="cellIs" dxfId="137" priority="164" operator="equal">
      <formula>"高"</formula>
    </cfRule>
    <cfRule type="cellIs" dxfId="136" priority="165" operator="equal">
      <formula>"中"</formula>
    </cfRule>
  </conditionalFormatting>
  <conditionalFormatting sqref="G511">
    <cfRule type="cellIs" dxfId="135" priority="161" operator="equal">
      <formula>#REF!</formula>
    </cfRule>
    <cfRule type="cellIs" dxfId="134" priority="162" operator="equal">
      <formula>#REF!</formula>
    </cfRule>
  </conditionalFormatting>
  <conditionalFormatting sqref="D511">
    <cfRule type="cellIs" dxfId="133" priority="158" operator="equal">
      <formula>"紧急"</formula>
    </cfRule>
    <cfRule type="cellIs" dxfId="132" priority="159" operator="equal">
      <formula>"高"</formula>
    </cfRule>
    <cfRule type="cellIs" dxfId="131" priority="160" operator="equal">
      <formula>"中"</formula>
    </cfRule>
  </conditionalFormatting>
  <conditionalFormatting sqref="D512:D517">
    <cfRule type="cellIs" dxfId="130" priority="155" operator="equal">
      <formula>"紧急"</formula>
    </cfRule>
    <cfRule type="cellIs" dxfId="129" priority="156" operator="equal">
      <formula>"高"</formula>
    </cfRule>
    <cfRule type="cellIs" dxfId="128" priority="157" operator="equal">
      <formula>"中"</formula>
    </cfRule>
  </conditionalFormatting>
  <conditionalFormatting sqref="F513">
    <cfRule type="cellIs" dxfId="127" priority="151" operator="equal">
      <formula>#REF!</formula>
    </cfRule>
    <cfRule type="cellIs" dxfId="126" priority="152" operator="equal">
      <formula>#REF!</formula>
    </cfRule>
  </conditionalFormatting>
  <conditionalFormatting sqref="G519:G530">
    <cfRule type="cellIs" dxfId="125" priority="149" operator="equal">
      <formula>#REF!</formula>
    </cfRule>
    <cfRule type="cellIs" dxfId="124" priority="150" operator="equal">
      <formula>#REF!</formula>
    </cfRule>
  </conditionalFormatting>
  <conditionalFormatting sqref="D519:D530">
    <cfRule type="cellIs" dxfId="123" priority="146" operator="equal">
      <formula>"紧急"</formula>
    </cfRule>
    <cfRule type="cellIs" dxfId="122" priority="147" operator="equal">
      <formula>"高"</formula>
    </cfRule>
    <cfRule type="cellIs" dxfId="121" priority="148" operator="equal">
      <formula>"中"</formula>
    </cfRule>
  </conditionalFormatting>
  <conditionalFormatting sqref="G518">
    <cfRule type="cellIs" dxfId="120" priority="144" operator="equal">
      <formula>#REF!</formula>
    </cfRule>
    <cfRule type="cellIs" dxfId="119" priority="145" operator="equal">
      <formula>#REF!</formula>
    </cfRule>
  </conditionalFormatting>
  <conditionalFormatting sqref="D518">
    <cfRule type="cellIs" dxfId="118" priority="141" operator="equal">
      <formula>"紧急"</formula>
    </cfRule>
    <cfRule type="cellIs" dxfId="117" priority="142" operator="equal">
      <formula>"高"</formula>
    </cfRule>
    <cfRule type="cellIs" dxfId="116" priority="143" operator="equal">
      <formula>"中"</formula>
    </cfRule>
  </conditionalFormatting>
  <conditionalFormatting sqref="D533:D536">
    <cfRule type="cellIs" dxfId="115" priority="138" operator="equal">
      <formula>"紧急"</formula>
    </cfRule>
    <cfRule type="cellIs" dxfId="114" priority="139" operator="equal">
      <formula>"高"</formula>
    </cfRule>
    <cfRule type="cellIs" dxfId="113" priority="140" operator="equal">
      <formula>"中"</formula>
    </cfRule>
  </conditionalFormatting>
  <conditionalFormatting sqref="G537:J537">
    <cfRule type="cellIs" dxfId="112" priority="136" operator="equal">
      <formula>#REF!</formula>
    </cfRule>
    <cfRule type="cellIs" dxfId="111" priority="137" operator="equal">
      <formula>#REF!</formula>
    </cfRule>
  </conditionalFormatting>
  <conditionalFormatting sqref="D537">
    <cfRule type="cellIs" dxfId="110" priority="133" operator="equal">
      <formula>"紧急"</formula>
    </cfRule>
    <cfRule type="cellIs" dxfId="109" priority="134" operator="equal">
      <formula>"高"</formula>
    </cfRule>
    <cfRule type="cellIs" dxfId="108" priority="135" operator="equal">
      <formula>"中"</formula>
    </cfRule>
  </conditionalFormatting>
  <conditionalFormatting sqref="D538">
    <cfRule type="cellIs" dxfId="107" priority="130" operator="equal">
      <formula>"紧急"</formula>
    </cfRule>
    <cfRule type="cellIs" dxfId="106" priority="131" operator="equal">
      <formula>"高"</formula>
    </cfRule>
    <cfRule type="cellIs" dxfId="105" priority="132" operator="equal">
      <formula>"中"</formula>
    </cfRule>
  </conditionalFormatting>
  <conditionalFormatting sqref="D539">
    <cfRule type="cellIs" dxfId="104" priority="127" operator="equal">
      <formula>"紧急"</formula>
    </cfRule>
    <cfRule type="cellIs" dxfId="103" priority="128" operator="equal">
      <formula>"高"</formula>
    </cfRule>
    <cfRule type="cellIs" dxfId="102" priority="129" operator="equal">
      <formula>"中"</formula>
    </cfRule>
  </conditionalFormatting>
  <conditionalFormatting sqref="G540:XFD540">
    <cfRule type="cellIs" dxfId="101" priority="125" operator="equal">
      <formula>#REF!</formula>
    </cfRule>
    <cfRule type="cellIs" dxfId="100" priority="126" operator="equal">
      <formula>#REF!</formula>
    </cfRule>
  </conditionalFormatting>
  <conditionalFormatting sqref="D540">
    <cfRule type="cellIs" dxfId="99" priority="122" operator="equal">
      <formula>"紧急"</formula>
    </cfRule>
    <cfRule type="cellIs" dxfId="98" priority="123" operator="equal">
      <formula>"高"</formula>
    </cfRule>
    <cfRule type="cellIs" dxfId="97" priority="124" operator="equal">
      <formula>"中"</formula>
    </cfRule>
  </conditionalFormatting>
  <conditionalFormatting sqref="D541">
    <cfRule type="cellIs" dxfId="96" priority="119" operator="equal">
      <formula>"紧急"</formula>
    </cfRule>
    <cfRule type="cellIs" dxfId="95" priority="120" operator="equal">
      <formula>"高"</formula>
    </cfRule>
    <cfRule type="cellIs" dxfId="94" priority="121" operator="equal">
      <formula>"中"</formula>
    </cfRule>
  </conditionalFormatting>
  <conditionalFormatting sqref="D542">
    <cfRule type="cellIs" dxfId="93" priority="116" operator="equal">
      <formula>"紧急"</formula>
    </cfRule>
    <cfRule type="cellIs" dxfId="92" priority="117" operator="equal">
      <formula>"高"</formula>
    </cfRule>
    <cfRule type="cellIs" dxfId="91" priority="118" operator="equal">
      <formula>"中"</formula>
    </cfRule>
  </conditionalFormatting>
  <conditionalFormatting sqref="A543">
    <cfRule type="cellIs" dxfId="90" priority="114" operator="equal">
      <formula>#REF!</formula>
    </cfRule>
    <cfRule type="cellIs" dxfId="89" priority="115" operator="equal">
      <formula>#REF!</formula>
    </cfRule>
  </conditionalFormatting>
  <conditionalFormatting sqref="D543">
    <cfRule type="cellIs" dxfId="88" priority="108" operator="equal">
      <formula>"紧急"</formula>
    </cfRule>
    <cfRule type="cellIs" dxfId="87" priority="109" operator="equal">
      <formula>"高"</formula>
    </cfRule>
    <cfRule type="cellIs" dxfId="86" priority="110" operator="equal">
      <formula>"中"</formula>
    </cfRule>
  </conditionalFormatting>
  <conditionalFormatting sqref="A544:A644">
    <cfRule type="cellIs" dxfId="85" priority="106" operator="equal">
      <formula>#REF!</formula>
    </cfRule>
    <cfRule type="cellIs" dxfId="84" priority="107" operator="equal">
      <formula>#REF!</formula>
    </cfRule>
  </conditionalFormatting>
  <conditionalFormatting sqref="D544:D571 D574:D594 D596:D628 D630:D643">
    <cfRule type="cellIs" dxfId="83" priority="103" operator="equal">
      <formula>"紧急"</formula>
    </cfRule>
    <cfRule type="cellIs" dxfId="82" priority="104" operator="equal">
      <formula>"高"</formula>
    </cfRule>
    <cfRule type="cellIs" dxfId="81" priority="105" operator="equal">
      <formula>"中"</formula>
    </cfRule>
  </conditionalFormatting>
  <conditionalFormatting sqref="D572">
    <cfRule type="cellIs" dxfId="80" priority="100" operator="equal">
      <formula>"紧急"</formula>
    </cfRule>
    <cfRule type="cellIs" dxfId="79" priority="101" operator="equal">
      <formula>"高"</formula>
    </cfRule>
    <cfRule type="cellIs" dxfId="78" priority="102" operator="equal">
      <formula>"中"</formula>
    </cfRule>
  </conditionalFormatting>
  <conditionalFormatting sqref="D573">
    <cfRule type="cellIs" dxfId="77" priority="97" operator="equal">
      <formula>"紧急"</formula>
    </cfRule>
    <cfRule type="cellIs" dxfId="76" priority="98" operator="equal">
      <formula>"高"</formula>
    </cfRule>
    <cfRule type="cellIs" dxfId="75" priority="99" operator="equal">
      <formula>"中"</formula>
    </cfRule>
  </conditionalFormatting>
  <conditionalFormatting sqref="D595">
    <cfRule type="cellIs" dxfId="74" priority="94" operator="equal">
      <formula>"紧急"</formula>
    </cfRule>
    <cfRule type="cellIs" dxfId="73" priority="95" operator="equal">
      <formula>"高"</formula>
    </cfRule>
    <cfRule type="cellIs" dxfId="72" priority="96" operator="equal">
      <formula>"中"</formula>
    </cfRule>
  </conditionalFormatting>
  <conditionalFormatting sqref="D629">
    <cfRule type="cellIs" dxfId="71" priority="91" operator="equal">
      <formula>"紧急"</formula>
    </cfRule>
    <cfRule type="cellIs" dxfId="70" priority="92" operator="equal">
      <formula>"高"</formula>
    </cfRule>
    <cfRule type="cellIs" dxfId="69" priority="93" operator="equal">
      <formula>"中"</formula>
    </cfRule>
  </conditionalFormatting>
  <conditionalFormatting sqref="F642">
    <cfRule type="cellIs" dxfId="68" priority="87" operator="equal">
      <formula>#REF!</formula>
    </cfRule>
    <cfRule type="cellIs" dxfId="67" priority="88" operator="equal">
      <formula>#REF!</formula>
    </cfRule>
  </conditionalFormatting>
  <conditionalFormatting sqref="F642">
    <cfRule type="cellIs" dxfId="66" priority="85" operator="equal">
      <formula>#REF!</formula>
    </cfRule>
    <cfRule type="cellIs" dxfId="65" priority="86" operator="equal">
      <formula>#REF!</formula>
    </cfRule>
  </conditionalFormatting>
  <conditionalFormatting sqref="D645:D658">
    <cfRule type="cellIs" dxfId="64" priority="82" operator="equal">
      <formula>"紧急"</formula>
    </cfRule>
    <cfRule type="cellIs" dxfId="63" priority="83" operator="equal">
      <formula>"高"</formula>
    </cfRule>
    <cfRule type="cellIs" dxfId="62" priority="84" operator="equal">
      <formula>"中"</formula>
    </cfRule>
  </conditionalFormatting>
  <conditionalFormatting sqref="D644">
    <cfRule type="cellIs" dxfId="61" priority="79" operator="equal">
      <formula>"紧急"</formula>
    </cfRule>
    <cfRule type="cellIs" dxfId="60" priority="80" operator="equal">
      <formula>"高"</formula>
    </cfRule>
    <cfRule type="cellIs" dxfId="59" priority="81" operator="equal">
      <formula>"中"</formula>
    </cfRule>
  </conditionalFormatting>
  <conditionalFormatting sqref="F660">
    <cfRule type="cellIs" dxfId="58" priority="77" operator="equal">
      <formula>#REF!</formula>
    </cfRule>
    <cfRule type="cellIs" dxfId="57" priority="78" operator="equal">
      <formula>#REF!</formula>
    </cfRule>
  </conditionalFormatting>
  <conditionalFormatting sqref="D660">
    <cfRule type="cellIs" dxfId="56" priority="74" operator="equal">
      <formula>"紧急"</formula>
    </cfRule>
    <cfRule type="cellIs" dxfId="55" priority="75" operator="equal">
      <formula>"高"</formula>
    </cfRule>
    <cfRule type="cellIs" dxfId="54" priority="76" operator="equal">
      <formula>"中"</formula>
    </cfRule>
  </conditionalFormatting>
  <conditionalFormatting sqref="D661">
    <cfRule type="cellIs" dxfId="53" priority="71" operator="equal">
      <formula>"紧急"</formula>
    </cfRule>
    <cfRule type="cellIs" dxfId="52" priority="72" operator="equal">
      <formula>"高"</formula>
    </cfRule>
    <cfRule type="cellIs" dxfId="51" priority="73" operator="equal">
      <formula>"中"</formula>
    </cfRule>
  </conditionalFormatting>
  <conditionalFormatting sqref="D662">
    <cfRule type="cellIs" dxfId="50" priority="68" operator="equal">
      <formula>"紧急"</formula>
    </cfRule>
    <cfRule type="cellIs" dxfId="49" priority="69" operator="equal">
      <formula>"高"</formula>
    </cfRule>
    <cfRule type="cellIs" dxfId="48" priority="70" operator="equal">
      <formula>"中"</formula>
    </cfRule>
  </conditionalFormatting>
  <conditionalFormatting sqref="D664">
    <cfRule type="cellIs" dxfId="47" priority="60" operator="equal">
      <formula>"紧急"</formula>
    </cfRule>
    <cfRule type="cellIs" dxfId="46" priority="61" operator="equal">
      <formula>"高"</formula>
    </cfRule>
    <cfRule type="cellIs" dxfId="45" priority="62" operator="equal">
      <formula>"中"</formula>
    </cfRule>
  </conditionalFormatting>
  <conditionalFormatting sqref="D665">
    <cfRule type="cellIs" dxfId="44" priority="54" operator="equal">
      <formula>"紧急"</formula>
    </cfRule>
    <cfRule type="cellIs" dxfId="43" priority="55" operator="equal">
      <formula>"高"</formula>
    </cfRule>
    <cfRule type="cellIs" dxfId="42" priority="56" operator="equal">
      <formula>"中"</formula>
    </cfRule>
  </conditionalFormatting>
  <conditionalFormatting sqref="D666">
    <cfRule type="cellIs" dxfId="41" priority="51" operator="equal">
      <formula>"紧急"</formula>
    </cfRule>
    <cfRule type="cellIs" dxfId="40" priority="52" operator="equal">
      <formula>"高"</formula>
    </cfRule>
    <cfRule type="cellIs" dxfId="39" priority="53" operator="equal">
      <formula>"中"</formula>
    </cfRule>
  </conditionalFormatting>
  <conditionalFormatting sqref="D667">
    <cfRule type="cellIs" dxfId="38" priority="45" operator="equal">
      <formula>"紧急"</formula>
    </cfRule>
    <cfRule type="cellIs" dxfId="37" priority="46" operator="equal">
      <formula>"高"</formula>
    </cfRule>
    <cfRule type="cellIs" dxfId="36" priority="47" operator="equal">
      <formula>"中"</formula>
    </cfRule>
  </conditionalFormatting>
  <conditionalFormatting sqref="D668">
    <cfRule type="cellIs" dxfId="35" priority="42" operator="equal">
      <formula>"紧急"</formula>
    </cfRule>
    <cfRule type="cellIs" dxfId="34" priority="43" operator="equal">
      <formula>"高"</formula>
    </cfRule>
    <cfRule type="cellIs" dxfId="33" priority="44" operator="equal">
      <formula>"中"</formula>
    </cfRule>
  </conditionalFormatting>
  <conditionalFormatting sqref="D669">
    <cfRule type="cellIs" dxfId="32" priority="39" operator="equal">
      <formula>"紧急"</formula>
    </cfRule>
    <cfRule type="cellIs" dxfId="31" priority="40" operator="equal">
      <formula>"高"</formula>
    </cfRule>
    <cfRule type="cellIs" dxfId="30" priority="41" operator="equal">
      <formula>"中"</formula>
    </cfRule>
  </conditionalFormatting>
  <conditionalFormatting sqref="D670">
    <cfRule type="cellIs" dxfId="29" priority="31" operator="equal">
      <formula>"紧急"</formula>
    </cfRule>
    <cfRule type="cellIs" dxfId="28" priority="32" operator="equal">
      <formula>"高"</formula>
    </cfRule>
    <cfRule type="cellIs" dxfId="27" priority="33" operator="equal">
      <formula>"中"</formula>
    </cfRule>
  </conditionalFormatting>
  <conditionalFormatting sqref="D674">
    <cfRule type="cellIs" dxfId="26" priority="28" operator="equal">
      <formula>"紧急"</formula>
    </cfRule>
    <cfRule type="cellIs" dxfId="25" priority="29" operator="equal">
      <formula>"高"</formula>
    </cfRule>
    <cfRule type="cellIs" dxfId="24" priority="30" operator="equal">
      <formula>"中"</formula>
    </cfRule>
  </conditionalFormatting>
  <conditionalFormatting sqref="D678:D679">
    <cfRule type="cellIs" dxfId="23" priority="22" operator="equal">
      <formula>"紧急"</formula>
    </cfRule>
    <cfRule type="cellIs" dxfId="22" priority="23" operator="equal">
      <formula>"高"</formula>
    </cfRule>
    <cfRule type="cellIs" dxfId="21" priority="24" operator="equal">
      <formula>"中"</formula>
    </cfRule>
  </conditionalFormatting>
  <conditionalFormatting sqref="D671:D673">
    <cfRule type="cellIs" dxfId="20" priority="19" operator="equal">
      <formula>"紧急"</formula>
    </cfRule>
    <cfRule type="cellIs" dxfId="19" priority="20" operator="equal">
      <formula>"高"</formula>
    </cfRule>
    <cfRule type="cellIs" dxfId="18" priority="21" operator="equal">
      <formula>"中"</formula>
    </cfRule>
  </conditionalFormatting>
  <conditionalFormatting sqref="D675:D677">
    <cfRule type="cellIs" dxfId="17" priority="16" operator="equal">
      <formula>"紧急"</formula>
    </cfRule>
    <cfRule type="cellIs" dxfId="16" priority="17" operator="equal">
      <formula>"高"</formula>
    </cfRule>
    <cfRule type="cellIs" dxfId="15" priority="18" operator="equal">
      <formula>"中"</formula>
    </cfRule>
  </conditionalFormatting>
  <conditionalFormatting sqref="D680:D684">
    <cfRule type="cellIs" dxfId="14" priority="13" operator="equal">
      <formula>"紧急"</formula>
    </cfRule>
    <cfRule type="cellIs" dxfId="13" priority="14" operator="equal">
      <formula>"高"</formula>
    </cfRule>
    <cfRule type="cellIs" dxfId="12" priority="15" operator="equal">
      <formula>"中"</formula>
    </cfRule>
  </conditionalFormatting>
  <conditionalFormatting sqref="D685">
    <cfRule type="cellIs" dxfId="11" priority="10" operator="equal">
      <formula>"紧急"</formula>
    </cfRule>
    <cfRule type="cellIs" dxfId="10" priority="11" operator="equal">
      <formula>"高"</formula>
    </cfRule>
    <cfRule type="cellIs" dxfId="9" priority="12" operator="equal">
      <formula>"中"</formula>
    </cfRule>
  </conditionalFormatting>
  <conditionalFormatting sqref="D686">
    <cfRule type="cellIs" dxfId="8" priority="7" operator="equal">
      <formula>"紧急"</formula>
    </cfRule>
    <cfRule type="cellIs" dxfId="7" priority="8" operator="equal">
      <formula>"高"</formula>
    </cfRule>
    <cfRule type="cellIs" dxfId="6" priority="9" operator="equal">
      <formula>"中"</formula>
    </cfRule>
  </conditionalFormatting>
  <conditionalFormatting sqref="D687">
    <cfRule type="cellIs" dxfId="5" priority="4" operator="equal">
      <formula>"紧急"</formula>
    </cfRule>
    <cfRule type="cellIs" dxfId="4" priority="5" operator="equal">
      <formula>"高"</formula>
    </cfRule>
    <cfRule type="cellIs" dxfId="3" priority="6" operator="equal">
      <formula>"中"</formula>
    </cfRule>
  </conditionalFormatting>
  <conditionalFormatting sqref="D688">
    <cfRule type="cellIs" dxfId="2" priority="1" operator="equal">
      <formula>"紧急"</formula>
    </cfRule>
    <cfRule type="cellIs" dxfId="1" priority="2" operator="equal">
      <formula>"高"</formula>
    </cfRule>
    <cfRule type="cellIs" dxfId="0" priority="3" operator="equal">
      <formula>"中"</formula>
    </cfRule>
  </conditionalFormatting>
  <hyperlinks>
    <hyperlink ref="C483" r:id="rId1" display="http://www.cnnvd.org.cn/vulnerability/show/cv_cnnvdid/CNNVD-201302-458"/>
  </hyperlinks>
  <pageMargins left="0.7" right="0.7" top="0.75" bottom="0.75" header="0.3" footer="0.3"/>
  <pageSetup paperSize="9" orientation="portrait"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
  <sheetViews>
    <sheetView tabSelected="1" workbookViewId="0">
      <selection activeCell="G5" sqref="G5"/>
    </sheetView>
  </sheetViews>
  <sheetFormatPr defaultRowHeight="13.5"/>
  <sheetData/>
  <phoneticPr fontId="8"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nessus_V4_1">
                <anchor moveWithCells="1" sizeWithCells="1">
                  <from>
                    <xdr:col>1</xdr:col>
                    <xdr:colOff>0</xdr:colOff>
                    <xdr:row>1</xdr:row>
                    <xdr:rowOff>0</xdr:rowOff>
                  </from>
                  <to>
                    <xdr:col>4</xdr:col>
                    <xdr:colOff>9525</xdr:colOff>
                    <xdr:row>7</xdr:row>
                    <xdr:rowOff>9525</xdr:rowOff>
                  </to>
                </anchor>
              </controlPr>
            </control>
          </mc:Choice>
        </mc:AlternateContent>
        <mc:AlternateContent xmlns:mc="http://schemas.openxmlformats.org/markup-compatibility/2006">
          <mc:Choice Requires="x14">
            <control shapeId="3074" r:id="rId5" name="Button 2">
              <controlPr defaultSize="0" print="0" autoFill="0" autoPict="0" macro="[0]!nessus_后期处理">
                <anchor moveWithCells="1" sizeWithCells="1">
                  <from>
                    <xdr:col>1</xdr:col>
                    <xdr:colOff>0</xdr:colOff>
                    <xdr:row>7</xdr:row>
                    <xdr:rowOff>161925</xdr:rowOff>
                  </from>
                  <to>
                    <xdr:col>4</xdr:col>
                    <xdr:colOff>9525</xdr:colOff>
                    <xdr:row>14</xdr:row>
                    <xdr:rowOff>9525</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5</vt:i4>
      </vt:variant>
    </vt:vector>
  </HeadingPairs>
  <TitlesOfParts>
    <vt:vector size="5" baseType="lpstr">
      <vt:lpstr>漏洞统计</vt:lpstr>
      <vt:lpstr>安全风险等级分布</vt:lpstr>
      <vt:lpstr>扫描结果</vt:lpstr>
      <vt:lpstr>漏洞引用表</vt:lpstr>
      <vt:lpstr>宏脚本按钮</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林坤潮</cp:lastModifiedBy>
  <dcterms:created xsi:type="dcterms:W3CDTF">2006-09-13T11:21:51Z</dcterms:created>
  <dcterms:modified xsi:type="dcterms:W3CDTF">2018-11-03T13:24:19Z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sflag">
    <vt:lpwstr>1335511409</vt:lpwstr>
  </property>
  <property fmtid="{D5CDD505-2E9C-101B-9397-08002B2CF9AE}" pid="3" name="_ms_pID_725343">
    <vt:lpwstr>(2)+ryMda7xjXw2+r5hWAONHqvIIP2gSEKuJw036HV2a3hinKVkRY3NUz3s5erxpJsq2wRrzBG9
p/voKvfDTv1lMNqqyilsdX6vs5o3OKQ1PhYdnAPihnfXAwh9porX97AfdXlUKtJ61WqE76Dq
Mux4RXWEIB+GrPNuO4AIRsR/uV6Bl3sOr+/Jly6KDG6N2tVxFFPRXzpoYiD90u+erHu0zpfJ
TmTwUtAxYLPGZosg9fE8S</vt:lpwstr>
  </property>
  <property fmtid="{D5CDD505-2E9C-101B-9397-08002B2CF9AE}" pid="4" name="_ms_pID_7253431">
    <vt:lpwstr>R0b/2ZyxOmtn9rEr+S9+iJs+Oa7/42j72JnPk4M6vImUPlbQO/Q
XLmFHjU+Byn2tfPPzY1b9yewwlrhMPZtkP44qy9JKh/PinhTACpiPKzVXECuhY43TmssVHEF
HFt0aJVB5hHONqrzc705ltmY</vt:lpwstr>
  </property>
</Properties>
</file>